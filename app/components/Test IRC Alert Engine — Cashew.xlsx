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5"/>
    <sheet state="visible" name="QB_Data" sheetId="2" r:id="rId6"/>
    <sheet state="visible" name="Alerts" sheetId="3" r:id="rId7"/>
    <sheet state="visible" name="Rules_Production" sheetId="4" r:id="rId8"/>
    <sheet state="visible" name="App_Export" sheetId="5" r:id="rId9"/>
    <sheet state="visible" name="Log" sheetId="6" r:id="rId10"/>
  </sheets>
  <definedNames/>
  <calcPr/>
</workbook>
</file>

<file path=xl/sharedStrings.xml><?xml version="1.0" encoding="utf-8"?>
<sst xmlns="http://schemas.openxmlformats.org/spreadsheetml/2006/main" count="283" uniqueCount="214">
  <si>
    <t>IRC Section</t>
  </si>
  <si>
    <t>Plain English Summary</t>
  </si>
  <si>
    <t>Affects Industry</t>
  </si>
  <si>
    <t>Affects Entity Type</t>
  </si>
  <si>
    <t>QuickBooks Data Needed</t>
  </si>
  <si>
    <t>Alert Message Template</t>
  </si>
  <si>
    <t>Non-Accountant Explanation</t>
  </si>
  <si>
    <t>§168</t>
  </si>
  <si>
    <t>(k)Special allowance for certain property
(1)Additional allowance
In the case of any qualified property—
(A)the depreciation deduction provided by section 167(a) for the taxable year in which such property is placed in service shall include an allowance equal to 100 percent of the adjusted basis of the qualified property, and
(B)the adjusted basis of the qualified property shall be reduced by the amount of such deduction before computing the amount otherwise allowable as a depreciation deduction under this chapter for such taxable year and any subsequent taxable year.
(2)Qualified property
For purposes of this subsection—
(A)In general
The term “qualified property” means property—
(i)
(I)to which this section applies which has a recovery period of 20 years or less,
(II)which is computer software (as defined in section 167(f)(1)(B)) for which a deduction is allowable under section 167(a) without regard to this subsection,
(III)which is water utility property, or [2]
(IV)which is a qualified film or television production (as defined in subsection (d) of section 181) for which a deduction would have been allowable under section 181 without regard to subsections (a)(2) and (h) of such section or this subsection,
(V)which is a qualified live theatrical production (as defined in subsection (e) of section 181) for which a deduction would have been allowable under section 181 without regard to subsections (a)(2) and (h) of such section or this subsection, and or [3]
(VI)which is a qualified sound recording production (as defined in subsection (f) of section 181) for which a deduction would have been allowable under section 181 without regard to subsections (a)(2) and (h) of such section or this subsection, and
(ii)the original use of which begins with the taxpayer or the acquisition of which by the taxpayer meets the requirements of clause (i) of subparagraph (E).
(B)Certain property having longer production periods treated as qualified property
(i)In general
The term “qualified property” includes any property if such property—
(I)meets the requirements of clauses (i) and (ii) of subparagraph (A),
(II)has a recovery period of at least 10 years or is transportation property,
(III)is subject to section 263A, and
(IV)meets the requirements of clause (iii) of section 263A(f)(1)(B) (determined as if such clause also applies to property which has a long useful life (within the meaning of section 263A(f))).
(ii)Transportation property
For purposes of this subparagraph, the term “transportation property” means tangible personal property used in the trade or business of transporting persons or property.
(iii)Application of subparagraph
This subparagraph shall not apply to any property which is described in subparagraph (C).
(C)Certain aircraft
The term “qualified property” includes property—
(i)which meets the requirements of subparagraph (A)(ii),
(ii)which is an aircraft which is not a transportation property (as defined in subparagraph (B)(ii)) other than for agricultural or firefighting purposes,
(iii)which is purchased and on which such purchaser, at the time of the contract for purchase, has made a nonrefundable deposit of the lesser of—
(I)10 percent of the cost, or
(II)$100,000, and
(iv)which has—
(I)an estimated production period exceeding 4 months, and
(II)a cost exceeding $200,000.
(D)Exception for alternative depreciation property
The term “qualified property” shall not include any property to which the alternative depreciation system under subsection (g) applies, determined—
(i)without regard to paragraph (7) of subsection (g) (relating to election to have system apply), and
(ii)after application of section 280F(b) (relating to listed property with limited business use).
(E)Special rules
(i)Acquisition requirements
An acquisition of property meets the requirements of this clause if—
(I)such property was not used by the taxpayer at any time prior to such acquisition, and
(II)the acquisition of such property meets the requirements of paragraphs (2)(A), (2)(B), (2)(C), and (3) of section 179(d).
(ii)Syndication
For purposes of subparagraph (A)(ii), if—
(I)property is used by a lessor of such property and such use is the lessor’s first use of such property,
(II)such property is sold by such lessor or any subsequent purchaser within 3 months after the date such property was originally placed in service (or, in the case of multiple units of property subject to the same lease, within 3 months after the date the final unit is placed in service, so long as the period between the time the first unit is placed in service and the time the last unit is placed in service does not exceed 12 months), and
(III)the user of such property after the last sale during such 3-month period remains the same as when such property was originally placed in service,
 such property shall be treated as originally placed in service not earlier than the date of such last sale.
(F)Coordination with section 280F
For purposes of section 280F—
(i)Automobiles
In the case of a passenger automobile (as defined in section 280F(d)(5)) which is qualified property, the Secretary shall increase the limitation under section 280F(a)(1)(A)(i) by $8,000.
(ii)Listed property
The deduction allowable under paragraph (1) shall be taken into account in computing any recapture amount under section 280F(b)(2).
(iii)Phase down
In the case of a passenger automobile acquired by the taxpayer before September 28, 2017, and placed in service by the taxpayer after September 27, 2017, clause (i) shall be applied by substituting for “$8,000”—
(I)in the case of an automobile placed in service during 2018, $6,400, and
(II)in the case of an automobile placed in service during 2019, $4,800.
(G)Deduction allowed in computing minimum tax
For purposes of determining alternative minimum taxable income under section 55, the deduction under section 167 for qualified property shall be determined without regard to any adjustment under section 56.
(H)Production placed in service
For purposes of subparagraph (A)—
(i)a qualified film or television production shall be considered to be placed in service at the time of initial release or broadcast,
(ii)a qualified live theatrical production shall be considered to be placed in service at the time of the initial live staged performance, and
(iii)a qualified sound recording production shall be considered to be placed in service at the time of initial release or broadcast.
[(3)Repealed. Pub. L. 115–97, title I, § 13204(a)(4)(B)(ii), Dec. 22, 2017, 131 Stat. 2111]
[(4)Repealed. Pub. L. 115–97, title I, § 12001(b)(13), Dec. 22, 2017, 131 Stat. 2094]
(5)Special rules for certain plants bearing fruits and nuts
(A)In general
In the case of any specified plant which is planted or grafted by the taxpayer in the ordinary course of the taxpayer’s farming business (as defined in section 263A(e)(4)) during a taxable year for which the taxpayer has elected the application of this paragraph—
(i)a depreciation deduction equal to 100 percent of the adjusted basis of such specified plant shall be allowed under section 167(a) for the taxable year in which such specified plant is so planted or grafted, and
(ii)the adjusted basis of such specified plant shall be reduced by the amount of such deduction.
(B)Specified plant
For purposes of this paragraph, the term “specified plant” means—
(i)any tree or vine which bears fruits or nuts, and
(ii)any other plant which will have more than one crop or yield of fruits or nuts and which generally has a pre-productive period of more than 2 years from the time of planting or grafting to the time at which such plant begins bearing a marketable crop or yield of fruits or nuts.
Such term shall not include any property which is planted or grafted outside of the United States.
(C)Election revocable only with consent
An election under this paragraph may be revoked only with the consent of the Secretary.
(D)Additional depreciation may be claimed only once
If this paragraph applies to any specified plant, such specified plant shall not be treated as qualified property in the taxable year in which placed in service.
(E)Deduction allowed in computing minimum tax
Rules similar to the rules of paragraph (2)(G) shall apply for purposes of this paragraph.
[(6)Repealed. Pub. L. 119–21, title VII, § 70301(b)(1)(B), July 4, 2025, 139 Stat. 189]
(7)Election out
If a taxpayer makes an election under this paragraph with respect to any class of property for any taxable year, paragraphs (1) and (2)(F) shall not apply to any qualified property in such class placed in service during such taxable year. An election under this paragraph may be revoked only with the consent of the Secretary.
[(8)Repealed. Pub. L. 119–21, title VII, § 70301(b)(1)(B), July 4, 2025, 139 Stat. 189]
(9)Exception for certain property
The term “qualified property” shall not include—
(A)any property which is primarily used in a trade or business described in clause (iv) of section 163(j)(7)(A), or
(B)any property used in a trade or business that has had floor plan financing indebtedness (as defined in paragraph (9) of section 163(j)), if the floor plan financing interest related to such indebtedness was taken into account under paragraph (1)(C) of such section.
(10)Special rule for property placed in service during certain periods
(A)In general
In the case of qualified property placed in service by the taxpayer during the first taxable year ending after January 19, 2025, if the taxpayer elects to have this paragraph apply for such taxable year, paragraph (1)(A) shall be applied—
(i)in the case of property which is not described in clause (ii), by substituting “40 percent” for “100 percent”, or
(ii)in the case of property which is described in subparagraph (B) or (C) of paragraph (2), by substituting “60 percent” for “100 percent”.
(B)Specified plants
In the case of any specified plant planted or grafted by the taxpayer during the first taxable year ending after January 19, 2025, if the taxpayer elects to have this paragraph apply for such taxable year, paragraph (5)(A)(i) shall be applied by substituting “40 percent” for “100 percent”.
(C)Form of election
Any election under this paragraph shall be made at such time and in such form and manner as the Secretary may prescribe.</t>
  </si>
  <si>
    <t>🚨 Important: 100% Bonus Depreciation Restoration for [Entity]
How this affects you:
Great news for [Date]\! Under the newly restored provisions of IRC Section 168(k), your business can now immediately deduct 100% of the cost of qualified property placed in service after January 19, 2025. This allows [Entity] to write off the full [Amount] of eligible investments—such as machinery, equipment, computer software, and certain vehicles—in a single year rather than over a standard depreciation schedule, significantly reducing your taxable income and improving immediate cash flow.
✅ Verify that the property meets the "original use" requirement or was newly acquired by your business
✅ Ensure the assets have a recovery period of 20 years or less to qualify for the full deduction
✅ Update your QuickBooks fixed asset records to reflect the 100% first-year allowance election
📚 Source: IRC Section 168
⚠️ Disclaimer: This template is for informational purposes only. Tax laws are subject to change and eligibility criteria for qualified property are complex. Please consult with a qualified tax professional to confirm compliance for your specific situation.</t>
  </si>
  <si>
    <t>§179</t>
  </si>
  <si>
    <t>(a)Treatment as expenses
A taxpayer may elect to treat the cost of any section 179 property as an expense which is not chargeable to capital account. Any cost so treated shall be allowed as a deduction for the taxable year in which the section 179 property is placed in service.
(b)Limitations
(1)Dollar limitation
The aggregate cost which may be taken into account under subsection (a) for any taxable year shall not exceed $2,500,000.
(2)Reduction in limitation
The limitation under paragraph (1) for any taxable year shall be reduced (but not below zero) by the amount by which the cost of section 179 property placed in service during such taxable year exceeds $4,000,000.
(3)Limitation based on income from trade or business
(A)In general
The amount allowed as a deduction under subsection (a) for any taxable year (determined after the application of paragraphs (1) and (2)) shall not exceed the aggregate amount of taxable income of the taxpayer for such taxable year which is derived from the active conduct by the taxpayer of any trade or business during such taxable year.
(B)Carryover of disallowed deduction
The amount allowable as a deduction under subsection (a) for any taxable year shall be increased by the lesser of—
(i)the aggregate amount disallowed under subparagraph (A) for all prior taxable years (to the extent not previously allowed as a deduction by reason of this subparagraph), or
(ii)the excess (if any) of—
(I)the limitation of paragraphs (1) and (2) (or if lesser, the aggregate amount of taxable income referred to in subparagraph (A)), over
(II)the amount allowable as a deduction under subsection (a) for such taxable year without regard to this subparagraph.
(C)Computation of taxable income
For purposes of this paragraph, taxable income derived from the conduct of a trade or business shall be computed without regard to the deduction allowable under this section.
(4)Married individuals filing separately
In the case of a husband and wife filing separate returns for the taxable year—
(A)such individuals shall be treated as 1 taxpayer for purposes of paragraphs (1) and (2), and
(B)unless such individuals elect otherwise, 50 percent of the cost which may be taken into account under subsection (a) for such taxable year (before application of paragraph (3)) shall be allocated to each such individual.
(5)Limitation on cost taken into account for certain passenger vehicles
(A)In general
The cost of any sport utility vehicle for any taxable year which may be taken into account under this section shall not exceed $25,000.
(B)Sport utility vehicle
For purposes of subparagraph (A)—
(i)In general
The term “sport utility vehicle” means any 4-wheeled vehicle—
(I)which is primarily designed or which can be used to carry passengers over public streets, roads, or highways (except any vehicle operated exclusively on a rail or rails),
(II)which is not subject to section 280F, and
(III)which is rated at not more than 14,000 pounds gross vehicle weight.
(ii)Certain vehicles excluded
Such term does not include any vehicle which—
(I)is designed to have a seating capacity of more than 9 persons behind the driver’s seat,
(II)is equipped with a cargo area of at least 6 feet in interior length which is an open area or is designed for use as an open area but is enclosed by a cap and is not readily accessible directly from the passenger compartment, or
(III)has an integral enclosure, fully enclosing the driver compartment and load carrying device, does not have seating rearward of the driver’s seat, and has no body section protruding more than 30 inches ahead of the leading edge of the windshield.
(6)Inflation adjustment
(A)In general
In the case of any taxable year beginning after 2018 (2025 in the case of the dollar amounts in paragraphs (1) and (2)), the dollar amounts in paragraphs (1), (2), and (5)(A) shall each be increased by an amount equal to—
(i)such dollar amount, multiplied by
(ii)the cost-of-living adjustment determined under section 1(f)(3) for the calendar year in which the taxable year begins, determined by substituting in subparagraph (A)(ii) thereof—
(I)in the case of amounts in paragraphs (1) and (2), “calendar year 2024” for “calendar year 2016”, and
(II)in the case of the amount in paragraph (5)(A), “calendar year 2017” for “calendar year 2016”.
(B)Rounding
The amount of any increase under subparagraph (A) shall be rounded to the nearest multiple of $10,000 ($100 in the case of any increase in the amount under paragraph (5)(A)).
(c)Election
(1)In general
An election under this section for any taxable year shall—
(A)specify the items of section 179 property to which the election applies and the portion of the cost of each of such items which is to be taken into account under subsection (a), and
(B)be made on the taxpayer’s return of the tax imposed by this chapter for the taxable year.
Such election shall be made in such manner as the Secretary may by regulations prescribe.
(2)Election
Any election made under this section, and any specification contained in any such election, may be revoked by the taxpayer with respect to any property, and such revocation, once made, shall be irrevocable.
(d)Definitions and special rules
(1)Section 179 property
For purposes of this section, the term “section 179 property” means property—
(A)which is—
(i)tangible property (to which section 168 applies), or
(ii)computer software (as defined in section 197(e)(3)(B)) which is described in section 197(e)(3)(A)(i) and to which section 167 applies,
(B)which is—
(i)section 1245 property (as defined in section 1245(a)(3)), or
(ii)at the election of the taxpayer, qualified real property (as defined in subsection (e)), and
(C)which is acquired by purchase for use in the active conduct of a trade or business.
Such term shall not include any property described in section 50(b) (other than paragraph (2) thereof).
(2)Purchase defined
For purposes of paragraph (1), the term “purchase” means any acquisition of property, but only if—
(A)the property is not acquired from a person whose relationship to the person acquiring it would result in the disallowance of losses under section 267 or 707(b) (but, in applying section 267(b) and (c) for purposes of this section, paragraph (4) of section 267(c) shall be treated as providing that the family of an individual shall include only his spouse, ancestors, and lineal descendants),
(B)the property is not acquired by one component member of a controlled group from another component member of the same controlled group, and
(C)the basis of the property in the hands of the person acquiring it is not determined—
(i)in whole or in part by reference to the adjusted basis of such property in the hands of the person from whom acquired, or
(ii)under section 1014(a) (relating to property acquired from a decedent).
(3)Cost
For purposes of this section, the cost of property does not include so much of the basis of such property as is determined by reference to the basis of other property held at any time by the person acquiring such property.
(4)Section not to apply to estates and trusts
This section shall not apply to estates and trusts.
(5)Section not to apply to certain noncorporate lessors
This section shall not apply to any section 179 property which is purchased by a person who is not a corporation and with respect to which such person is the lessor unless—
(A)the property subject to the lease has been manufactured or produced by the lessor, or
(B)the term of the lease (taking into account options to renew) is less than 50 percent of the class life of the property (as defined in section 168(i)(1)),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(6)Dollar limitation of controlled group
For purposes of subsection (b) of this section—
(A)all component members of a controlled group shall be treated as one taxpayer, and
(B)the Secretary shall apportion the dollar limitation contained in subsection (b)(1) among the component members of such controlled group in such manner as he shall by regulations prescribe.
(7)Controlled group defined
For purposes of paragraphs (2) and (6), the term “controlled group” has the meaning assigned to it by section 1563(a), except that, for such purposes, the phrase “more than 50 percent” shall be substituted for the phrase “at least 80 percent” each place it appears in section 1563(a)(1).
(8)Treatment of partnerships and S corporations
In the case of a partnership, the limitations of subsection (b) shall apply with respect to the partnership and with respect to each partner. A similar rule shall apply in the case of an S corporation and its shareholders.
(9)Coordination with section 38
No credit shall be allowed under section 38 with respect to any amount for which a deduction is allowed under subsection (a).
(10)Recapture in certain cases
The Secretary shall, by regulations, provide for recapturing the benefit under any deduction allowable under subsection (a) with respect to any property which is not used predominantly in a trade or business at any time.
(e)Qualified real property
For purposes of this section, the term “qualified real property” means—
(1)any qualified improvement property described in section 168(e)(6), and
(2)any of the following improvements to nonresidential real property placed in service after the date such property was first placed in service:
(A)Roofs.
(B)Heating, ventilation, and air-conditioning property.
(C)Fire protection and alarm systems.
(D)Security systems.
(Added Pub. L. 85–866, title II, § 204(a), Sept. 2, 1958, 72 Stat. 1679; amended Pub. L. 87–834, § 13(c)(2), Oct. 16, 1962, 76 Stat. 1034; Pub. L. 91–172, title IV, § 401(f), Dec. 30, 1969, 83 Stat. 603; Pub. L. 94–455, title II, § 213(a), title XIX, § 1906(b)(13)(A), Oct. 4, 1976, 90 Stat. 1547, 1834; Pub. L. 97–34, title II, § 202(a), Aug. 13, 1981, 95 Stat. 219; Pub. L. 97–354, § 3(f), Oct. 19, 1982, 96 Stat. 1689; Pub. L. 97–448, title I, § 102(aa), Jan. 12, 1983, 96 Stat. 2369; Pub. L. 98–369, div. A, title I, § 13, July 18, 1984, 98 Stat. 505; Pub. L. 99–514, title II, §§ 201(d)(3), 202, Oct. 22, 1986, 100 Stat. 2139, 2142; Pub. L. 100–647, title I, § 1002(a)(19), (b)(1), Nov. 10, 1988, 102 Stat. 3356, 3357; Pub. L. 101–508, title XI, § 11813(b)(11), Nov. 5, 1990, 104 Stat. 1388–554; Pub. L. 103–66, title XIII, § 13116(a), Aug. 10, 1993, 107 Stat. 432; Pub. L. 104–188, title I, §§ 1111(a), 1702(h)(10), (19), Aug. 20, 1996, 110 Stat. 1758, 1874; Pub. L. 108–27, title II, § 202(a)–(e), May 28, 2003, 117 Stat. 757, 758; Pub. L. 108–357, title II, § 201, title VIII, § 910(a), Oct. 22, 2004, 118 Stat. 1429, 1659; Pub. L. 109–222, title I, § 101, May 17, 2006, 120 Stat. 346; Pub. L. 110–28, title VIII, § 8212(a)–(c), May 25, 2007, 121 Stat. 192; Pub. L. 110–185, title I, § 102(a), Feb. 13, 2008, 122 Stat. 618; Pub. L. 110–343, div. C, title VII, § 711(a), Oct. 3, 2008, 122 Stat. 3928; Pub. L. 111–5, div. B, title I, § 1202(a), Feb. 17, 2009, 123 Stat. 335; Pub. L. 111–147, title II, § 201(a), Mar. 18, 2010, 124 Stat. 77; Pub. L. 111–240, title II, § 2021(a)–(d), Sept. 27, 2010, 124 Stat. 2556, 2558; Pub. L. 111–312, title IV, § 402(a)–(e), title VII, § 737(b)(3), Dec. 17, 2010, 124 Stat. 3306, 3307, 3318; Pub. L. 112–240, title III, § 315(a)–(d), Jan. 2, 2013, 126 Stat. 2330, 2331; Pub. L. 113–295, div. A, title I, § 127(a)–(d), Dec. 19, 2014, 128 Stat. 4017; Pub. L. 114–113, div. Q, title I, § 124(a)–(f), Dec. 18, 2015, 129 Stat. 3053; Pub. L. 115–97, title I, §§ 11002(d)(1)(R), 13101(a)–(c), Dec. 22, 2017, 131 Stat. 2060, 2101, 2102; Pub. L. 115–141, div. U, title IV, § 401(b)(15)(A), (B), Mar. 23, 2018, 132 Stat. 1202; Pub. L. 119–21, title VII, § 70306(a), (b), July 4, 2025, 139 Stat. 197.)</t>
  </si>
  <si>
    <t>🚨 Important: Section 179 Expensing Update for [Entity]
How this affects you:
Great news for [Year]! Based on your [R&amp;D_Spend] in qualifying property investments, your business could be eligible for a significant tax deduction. We estimate your potential credit at [Credit_Estimate]. This incentive allows [Entity] to treat the cost of qualifying section 179 property—like equipment, software, and certain real property improvements—as an immediate expense rather than a capital charge. For the [Year] taxable year, you can deduct up to $2,500,000 of the adjusted basis for assets placed in service this year.
✅ File Form 6765 to elect and claim your specific section 179 deductions
✅ Schedule a CPA review to ensure your property meet "active conduct of trade or business" requirements
✅ Update your QuickBooks tagging for all fixed assets to automate tracking and compliance
📚 Source: IRC Section 179
⚠️ Disclaimer: This template is for informational purposes only. Tax laws are subject to change and individual circumstances vary. Please consult with a qualified tax professional to confirm eligibility and compliance for your specific entity.</t>
  </si>
  <si>
    <t>§41</t>
  </si>
  <si>
    <t>§41(a): A credit is allowed against tax for increasing research activities. Qualified research expenses include wages, supplies, and contract research. Credit rate: 20% of current QREs over base amount, or 14% of QREs for alternative simplified credit. Startups may elect to apply up to $500K against payroll tax.</t>
  </si>
  <si>
    <t>🚨 Important: Research &amp; Development Tax Credit for [Entity]
How this affects you:
Great news for [Year]\! Based on your [R&amp;D_Spend] in qualified research expenses, your business could be eligible for a significant tax credit. We estimate your potential credit at [Credit_Estimate]. This incentive is designed to reward your innovation by allowing you to claim a credit for wages, supplies, and contract research, helping you reinvest in your company's growth.
✅ Ensure all qualified expenses are properly documented for Form 6765
✅ Schedule a CPA review to verify your eligibility and maximize your credit
✅ Confirm that all R\&amp;D-related transactions are correctly tagged in QuickBooks
📚 Source: IRC Section 41
⚠️ Disclaimer: This template is for informational purposes only. Tax laws are subject to change and individual circumstances vary. Please consult with a qualified tax professional to confirm eligibility and compliance for your specific entity.</t>
  </si>
  <si>
    <t>§3121</t>
  </si>
  <si>
    <t>Defines wages for FICA tax purposes. For 2026, the Social Security wage base limit is $184,500. Wages above this are exempt from the 6.2% Social Security tax.</t>
  </si>
  <si>
    <t>🚨 Important: FICA Wage Base Limit Update for [Entity]
How this affects you:
For the 2026 tax year, the Social Security wage base is set at [Wage_Base]. This means that for your [Employee_Count] employees, any wages paid above this threshold are exempt from the 6.2% Social Security tax. Once an employee's year-to-date earnings surpass this limit, you should stop withholding the 6.2% employee portion and stop paying the 6.2% employer portion for the remainder of the year.
✅ Perform a payroll review to identify employees approaching the [Wage_Base] limit
✅ Verify that year-to-end W-2 wage reporting correctly reflects the Social Security cap
✅ Ensure all high-earner payroll items are correctly tagged in QuickBooks for accurate tax tracking
📚 Source: IRC Section 3121
⚠️ Disclaimer: This template is for informational purposes only. Tax laws are subject to change and individual circumstances vary. Please consult with a qualified tax professional to confirm eligibility and compliance for your specific entity.</t>
  </si>
  <si>
    <t xml:space="preserve">(g)Agricultural labor
For purposes of this chapter, the term “agricultural labor” includes all service performed—
(1)on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(3)in connection with the production or harvesting of any commodity defined as an agricultural commodity in section 15(g) of the Agricultural Marketing Act, as amended (12 U.S.C. 1141j), or in connection with the ginning of cotton, or in connection with the operation or maintenance of ditches, canals, reservoirs, or waterways, not owned or operated for profit, used exclusively for supplying and storing water for farming purposes;
(4)
(A)in the employ of the operator of a farm in handling, planting, drying, packing, packaging, processing, freezing, grading, storing, or delivering to storage or to market or to a carrier for transportation to market, in its unmanufactured state, any agricultural or horticultural commodity; but only if such operator produced more than one-half of the commodity with respect to which such service is performed;
(B)in the employ of a group of operators of farms (other than a cooperative organization) in the performance of service described in subparagraph (A), but only if such operators produced all of the commodity with respect to which such service is performed. For purposes of this subparagraph, any unincorporated group of operators shall be deemed a cooperative organization if the number of operators comprising such group is more than 20 at any time during the calendar year in which such service is performed;
(C)the provisions of subparagraphs (A) and (B) shall not be deemed to be applicable with respect to service performed in connection with commercial canning or commercial freezing or in connection with any agricultural or horticultural commodity after its delivery to a terminal market for distribution for consumption; or
(5)on a farm operated for profit if such service is not in the course of the employer’s trade or business.
As used in this subsection, the term “farm” includes stock, dairy, poultry, fruit, fur-bearing animal, and truck farms, plantations, ranches, nurseries, ranges, greenhouses or other similar structures used primarily for the raising of agricultural or horticultural commodities, and orchards.
(h)American employer
For purposes of this chapter, the term “American employer” means an employer which is—
(1)the United States or any instrumentality thereof,
(2)an individual who is a resident of the United States,
(3)a partnership, if two-thirds or more of the partners are residents of the United States,
(4)a trust, if all of the trustees are residents of the United States, or
(5)a corporation organized under the laws of the United States or of any State.
(i)Computation of wages in certain cases
(1)Domestic service
For purposes of this chapter, in the case of domestic service described in subsection (a)(7)(B), any payment of cash remuneration for such service which is more or less than a whole-dollar amount shall, under such conditions and to such extent as may be prescribed by regulations made under this chapter, be computed to the nearest dollar. For the purpose of the computation to the nearest dollar, the payment of a fractional part of a dollar shall be disregarded unless it amounts to one-half dollar or more, in which case it shall be increased to $1. The amount of any payment of cash remuneration so computed to the nearest dollar shall, in lieu of the amount actually paid, be deemed to constitute the amount of cash remuneration for purposes of subsection (a)(7)(B).
(2)Service in the uniformed services
For purposes of this chapter, in the case of an individual performing service, as a member of a uniformed service, to which the provisions of subsection (m)(1) are applicable, the term “wages” shall, subject to the provisions of subsection (a)(1) of this section, include as such individual’s remuneration for such service only (A) his basic pay as described in chapter 3 and section 1009 of title 37, United States Code, in the case of an individual performing service to which subparagraph (A) of such subsection (m)(1) applies, or (B) his compensation for such service as determined under section 206(a) of title 37, United States Code, in the case of an individual performing service to which subparagraph (B) of such subsection (m)(1) applies.
(3)Peace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5(c) or 6(1) of the Peace Corps Act.
(4)Service performed by certain members of religious orders
For purposes of this chapter, in any case where an individual is a member of a religious order (as defined in subsection (r)(2)) performing service in the exercise of duties required by such order, and an election of coverage under subsection (r) is in effect with respect to such order or with respect to the autonomous subdivision thereof to which such member belongs, the term “wages” shall, subject to the provisions of subsection (a)(1), include as such individual’s remuneration for such service the fair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
(5)Service performed by certain retired justices and judges
For purposes of this chapter, in the case of an individual performing service under the provisions of section 294 of title 28, United States Code (relating to assignment of retired justices and judges to active duty), the term “wages” shall not include any payment under section 371(b) of such title 28 which is received during the period of such service.
(j)Covered transportation service
For purposes of this chapter—
(1)Existing transportation systems—General rule
Except as provided in paragraph (2), all service performed in the employ of a State or political subdivision in connection with its operation of a public transportation system shall constitute covered transportation service if any part of the transportation system was acquired from private ownership after 1936 and prior to 1951.
(2)Existing transportation systems—Cases in which no transportation employees, or only certain employees, are covered
Service performed in the employ of a State or political subdivision in connection with the operation of its public transportation system shall not constitute covered transportation service if—
(A)any part of the transportation system was acquired from private ownership after 1936 and prior to 1951, and substantially all service in connection with the operation of the transportation system was, on December 31, 1950, covered under a general retirement system providing benefits which, by reason of a provision of the State constitution dealing specifically with retirement systems of the State or political subdivisions thereof, cannot be diminished or impaired; or
(B)no part of the transportation system operated by the State or political subdivision on December 31, 1950, was acquired from private ownership after 1936 and prior to 1951;
except that if such State or political subdivision makes an acquisition after 1950 from private ownership of any part of its transportation system, then, in the case of any employee who—
(C)became an employee of such State or political subdivision in connection with and at the time of its acquisition after 1950 of such part, and
(D)prior to such acquisition rendered service in employment (including as employment service covered by an agreement under section 218 of the Social Security Act) in connection with the operation of such part of the transportation system acquired by the State or political subdivision,
the service of such employee in connection with the operation of the transportation system shall constitute covered transportation service, commencing with the first day of the third calendar quarter following the calendar quarter in which the acquisition of such part took place, unless on such first day such service of such employee is covered by a general retirement system which does not, with respect to such employee, contain special provisions applicable only to employees described in subparagraph (C).
(3)Transportation systems acquired after 1950
All service performed in the employ of a State or political subdivision thereof in connection with its operation of a public transportation system shall constitute covered transportation service if the transportation system was not operated by the State or political subdivision prior to 1951 and, at the time of its first acquisition (after 1950) from private ownership of any part of its transportation system, the State or political subdivision did not have a general retirement system covering substantially all service performed in connection with the operation of the transportation system.
(4)Definitions
For purposes of this subsection—
(A)The term “general retirement system” means any pension, annuity, retirement, or similar fund or system established by a State or by a political subdivision thereof for employees of the State, political subdivision, or both; but such term shall not include such a fund or system which covers only service performed in positions connected with the operation of its public transportation system.
(B)A transportation system or a part thereof shall be considered to have been acquired by a State or political subdivision from private ownership if prior to the acquisition service performed by employees in connection with the operation of the system or part thereof acquired constituted employment under this chapter or subchapter A of chapter 9 of the Internal Revenue Code of 1939 or was covered by an agreement made pursuant to section 218 of the Social Security Act and some of such employees became employees of the State or political subdivision in connection with and at the time of such acquisition.
(C)The term “political subdivision” includes an instrumentality of—
(i)a State,
(ii)one or more political subdivisions of a State, or
(iii)a State and one or more of its political subdivisions.
[(k)Repealed. Pub. L. 98–21, title I, § 102(b)(2), Apr. 20, 1983, 97 Stat. 71]
(l)Agreements entered into by American employers with respect to foreign affiliates
(1)Agreement with respect to certain employees of foreign affiliate
The Secretary shall, at the American employer’s request, enter into an agreement (in such manner and form as may be prescribed by the Secretary) with any American employer (as defined in subsection (h)) who desires to have the insurance system established by title II of the Social Security Act extended to service performed outside the United States in the employ of any 1 or more of such employer’s foreign affiliates (as defined in paragraph (6)) by all employees who are citizens or residents of the United States, except that the agreement shall not apply to any service performed by, or remuneration paid to, an employee if such service or remuneration would be excluded from the term “employment” or “wages”, as defined in this section, had the service been performed in the United States. Such agreement may be amended at any time so as to be made applicable, in the same manner and under the same conditions, with respect to any other foreign affiliate of such American employer. Such agreement shall be applicable with respect to citizens or residents of the United States who, on or after the effective date of the agreement, are employees of and perform services outside the United States for any foreign affiliate specified in the agreement. Such agreement shall provide—
(A)that the American employer shall pay to the Secretary, at such time or times as the Secretary may by regulations prescribe, amounts equivalent to the sum of the taxes which would be imposed by sections 3101 and 3111 (including amounts equivalent to the interest, additions to the taxes, additional amounts, and penalties which would be applicable) with respect to the remuneration which would be wages if the services covered by the agreement constituted employment as defined in this section; and
(B)that the American employer will comply with such regulations relating to payments and reports as the Secretary may prescribe to carry out the purposes of this subsection.
(2)Effective period of agreement
An agreement entered into pursuant to paragraph (1) shall be in effect for the period beginning with the first day of the calendar quarter in which such agreement is entered into or the first day of the succeeding calendar quarter, as may be specified in the agreement; except that in case such agreement is amended to include the services performed for any other affiliate and such amendment is executed after the first month following the first calendar quarter for which the agreement is in effect, the agreement shall be in effect with respect to service performed for such other affiliate only after the calendar quarter in which such amendment is executed. Notwithstanding any other provision of this subsection, the period for which any such agreement is effective with respect to any foreign entity shall terminate at the end of any calendar quarter in which the foreign entity, at any time in such quarter, ceases to be a foreign affiliate as defined in paragraph (6).
(3)No termination of agreement
No agreement under this subsection may be terminated, either in its entirety or with respect to any foreign affiliate, on or after June 15, 1989.
(4)Deposits in trust funds
For purposes of section 201 of the Social Security Act, relating to appropriations to the Federal Old-Age and Survivors Insurance Trust Fund and the Federal Disability Insurance Trust Fund, such remuneration—
(A)paid for services covered by an agreement entered into pursuant to paragraph (1) as would be wages if the services constituted employment, and
(B)as is reported to the Secretary pursuant to the provisions of such agreement or of the regulations issued under this subsection,
shall be considered wages subject to the taxes imposed by this chapter.
(5)Overpayments and underpayments
(A)If more or less than the correct amount due under an agreement entered into pursuant to this subsection is paid with respect to any payment of remuneration, proper adjustments with respect to the amounts due under such agreement shall be made, without interest, in such manner and at such times as may be required by regulations prescribed by the Secretary.
(B)If an overpayment cannot be adjusted under subparagraph (A), the amount thereof shall be paid by the Secretary, through the Fiscal Service of the Treasury Department, but only if a claim for such overpayment is filed with the Secretary within two years from the time such overpayment was made.
(6)Foreign affiliate defined
For purposes of this subsection and section 210(a) of the Social Security Act—
(A)In general
A foreign affiliate of an American employer is any foreign entity in which such American employer has not less than a 10-percent interest.
(B)Determination of 10-percent interest
For purposes of subparagraph (A), an American employer has a 10-percent interest in any entity if such employer has such an interest directly (or through one or more entities)—
(i)in the case of a corporation, in the voting stock thereof, and
(ii)in the case of any other entity, in the profits thereof.
(7)American employer as separate entity
Each American employer which enters into an agreement pursuant to paragraph (1) of this subsection shall, for purposes of this subsection and section 6413(c)(2)(C), relating to special refunds in the case of employees of certain foreign entities, be considered an employer in its capacity as a party to such agreement separate and distinct from its identity as a person employing individuals on its own account.
(8)Regulations
Regulations of the Secretary to carry out the purposes of this subsection shall be designed to make the requirements imposed on American employers with respect to services covered by an agreement entered into pursuant to this subsection the same, so far as practicable, as those imposed upon employers pursuant to this title with respect to the taxes imposed by this chapter.
(m)Service in the uniformed services
For purposes of this chapter—
(1)Inclusion of service
The term “employment” shall, notwithstanding the provisions of subsection (b) of this section, include—
(A)service performed by an individual as a member of a uniformed service on active duty, but such term shall not include any such service which is performed while on leave without pay, and
(B)service performed by an individual as a member of a uniformed service on inactive duty training.
(2)Active duty
The term “active duty” means “active duty” as described in paragraph (21) of section 101 of title 38, United States Code, except that it shall also include “active duty for training” as described in paragraph (22) of such section.
(3)Inactive duty training
The term “inactive duty training” means “inactive duty training” as described in paragraph (23) of such section 101.
(n)Member of a uniformed service
For purposes of this chapter, the term “member of a uniformed service” means any person appointed, enlisted, or inducted in a component of the Army, Navy, Air Force, Marine Corps, or Coast Guard (including a reserve component as defined in section 101(27) of title 38, United States Code), or in one of those services without specification of component, or as a commissioned officer of the Coast and Geodetic Survey, the National Oceanic and Atmospheric Administration Corps, or the Regular or Reserve Corps [2] of the Public Health Service, and any person serving in the Army or Air Force under call or conscription. The term includes—
(1)a retired member of any of those services;
(2)a member of the Fleet Reserve or Fleet Marine Corps Reserve;
(3)a cadet at the United States Military Academy, a midshipman at the United States Naval Academy, and a cadet at the United States Coast Guard Academy or United States Air Force Academy;
(4)a member of the Reserve Officers’ Training Corps, the Naval Reserve Officers’ Training Corps, or the Air Force Reserve Officers’ Training Corps, when ordered to annual training duty for fourteen days or more, and while performing authorized travel to and from that duty; and
(5)any person while en route to or from, or at, a place for final acceptance or for entry upon active duty in the military, naval, or air service—
(A)who has been provisionally accepted for such duty; or
(B)who, under the Military Selective Service Act, has been selected for active military, naval, or air service;
and has been ordered or directed to proceed to such place.
The term does not include a temporary member of the Coast Guard Reserve.
(o)Crew leader
For purposes of this chapter,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For purposes of this chapter and chapter 2, a crew leader shall, with respect to service performed in furnishing individuals to perform agricultural labor for another person and service performed as a member of the crew, be deemed not to be an employee of such other person.
(p)Peace Corps volunteer service
For purposes of this chapter, the term “employment” shall, notwithstanding the provisions of subsection (b) of this section, include service performed by an individual as a volunteer or volunteer leader within the meaning of the Peace Corps Act.
(q)Tips included for both employee and employer taxes
For purposes of this chapter, tips received by an employee in the course of his employment shall be considered remuneration for such employment (and deemed to have been paid by the employer for purposes of subsections (a) and (b) of section 3111). Such remuneration shall be deemed to be paid at the time a written statement including such tips is furnished to the employer pursuant to section 6053(a) or (if no statement including such tips is so furnished) at the time received; except that, in determining the employer’s liability in connection with the taxes imposed by section 3111 with respect to such tips in any case where no statement including such tips was so furnished (or to the extent that the statement so furnished was inaccurate or incomplete), such remuneration shall be deemed for purposes of subtitle F to be paid on the date on which notice and demand for such taxes is made to the employer by the Secretary.
(r)Election of coverage by religious orders
(1)Certificate of election by order
A religious order whose members are required to take a vow of poverty, or any autonomous subdivision of such order, may file a certificate (in such form and manner, and with such official, as may be prescribed by regulations under this chapter) electing to have the insurance system established by title II of the Social Security Act extended to services performed by its members in the exercise of duties required by such order or such subdivision thereof. Such certificate of election shall provide that—
(A)such election of coverage by such order or subdivision shall be irrevocable;
(B)such election shall apply to all current and future members of such order, or in the case of a subdivision thereof to all current and future members of such order who belong to such subdivision;
(C)all services performed by a member of such an order or subdivision in the exercise of duties required by such order or subdivision shall be deemed to have been performed by such member as an employee of such order or subdivision; and
(D)the wages of each member, upon which such order or subdivision shall pay the taxes imposed by sections 3101 and 3111, will be determined as provided in subsection (i)(4).
(2)Definition of member
For purposes of this subsection, a member of a religious order means any individual who is subject to a vow of poverty as a member of such order and who performs tasks usually required (and to the extent usually required) of an active member of such order and who is not considered retired because of old age or total disability.
(3)Effective date for election
(A)A certificate of election of coverage shall be in effect, for purposes of subsection (b)(8) and for purposes of section 210(a)(8) of the Social Security Act, for the period beginning with whichever of the following may be designated by the order or subdivision thereof:
(i)the first day of the calendar quarter in which the certificate is filed,
(ii)the first day of the calendar quarter succeeding such quarter, or
(iii)the first day of any calendar quarter preceding the calendar quarter in which the certificate is filed, except that such date may not be earlier than the first day of the twentieth calendar quarter preceding the quarter in which such certificate is filed.
Whenever a date is designated under clause (iii), the election shall apply to services performed before the quarter in which the certificate is filed only if the member performing such services was a member at the time such services were performed and is living on the first day of the quarter in which such certificate is filed.
(B)If a certificate of election filed pursuant to this subsection is effective for one or more calendar quarters prior to the quarter in which such certificate is filed, then—
(i)for purposes of computing interest and for purposes of section 6651 (relating to addition to tax for failure to file tax return), the due date for the return and payment of the tax for such prior calendar quarters resulting from the filing of such certificate shall be the last day of the calendar month following the calendar quarter in which the certificate is filed; and
(ii)the statutory period for the assessment of such tax shall not expire before the expiration of 3 years from such due date.
[(4)Repealed. Pub. L. 98–21, title I, § 102(b)(3)(B), Apr. 20, 1983, 97 Stat. 71]
(s)Concurrent employment by two or more employers
For purposes of sections 3102, 3111, and 3121(a)(1), if two or more related corporations concurrently employ the same individual and compensate such individual through a common paymaster which is one of such corporations, each such corporation shall be considered to have paid as remuneration to such individual only the amounts actually disbursed by it to such individual and shall not be considered to have paid as remuneration to such individual amounts actually disbursed to such individual by another of such corporations.
[(t)Repealed. Pub. L. 100–203, title IX, § 9006(b)(2), Dec. 22, 1987, 101 Stat. 1330–289]
(u)Application of hospital insurance tax to Federal, State, and local employment
(1)Federal employment
For purposes of the taxes imposed by sections 3101(b) and 3111(b), subsection (b) shall be applied without regard to paragraph (5) thereof.
(2)State and local employment
For purposes of the taxes imposed by sections 3101(b) and 3111(b)—
(A)In general
Except as provided in subparagraphs (B) and (C), subsection (b) shall be applied without regard to paragraph (7) thereof.
(B)Exception for certain services
Service shall not be treated as employment by reason of subparagraph (A) if—
(i)the service is included under an agreement under section 218 of the Social Security Act, or
(ii)the service is performed—
(I)by an individual who is employed by a State or political subdivision thereof to relieve him from unemployment,
(II)in a hospital, home, or other institution by a patient or inmate thereof as an employee of a State or political subdivision thereof or of the District of Columbia,
(III)by an individual, as an employee of a State or political subdivision thereof or of the District of Columbia, serving on a temporary basis in case of fire, storm, snow, earthquake, flood or other similar emergency,
(IV)by any individual as an employee included under section 5351(2) of title 5, United States Code (relating to certain interns, student nurses, and other student employees of hospitals of the District of Columbia Government), other than as a medical or dental intern or a medical or dental resident in training,
(V)by an election official or election worker if the remuneration paid in a calendar year for such service is less than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or
(VI)by an individual in a position described in section 1402(c)(2)(E).
As used in this subparagraph, the terms “State” and “political subdivision” have the meanings given those terms in section 218(b) of the Social Security Act.
(C)Exception for current employment which continues
Service performed for an employer shall not be treated as employment by reason of subparagraph (A) if—
(i)such service would be excluded from the term “employment” for purposes of this chapter if subparagraph (A) did not apply;
(ii)such service is performed by an individual—
(I)who was performing substantial and regular service for remuneration for that employer before April 1, 1986,
(II)who is a bona fide employee of that employer on March 31, 1986, and
(III)whose employment relationship with that employer was not entered into for purposes of meeting the requirements of this subparagraph; and
(iii)the employment relationship with that employer has not been terminated after March 31, 1986.
(D)Treatment of agencies and instrumentalities
For purposes of subparagraph (C), under regulations—
(i)All agencies and instrumentalities of a State (as defined in section 218(b) of the Social Security Act) or of the District of Columbia shall be treated as a single employer.
(ii)All agencies and instrumentalities of a political subdivision of a State (as so defined) shall be treated as a single employer and shall not be treated as described in clause (i).
(3)Medicare qualified government employment
For purposes of this chapter, the term “medicare qualified government employment” means service which—
(A)is employment (as defined in subsection (b)) with the application of paragraphs (1) and (2), but
(B)would not be employment (as so defined) without the application of such paragraphs.
(v)Treatment of certain deferred compensation and salary reduction arrangements
(1)Certain employer contributions treated as wages
Nothing in any paragraph of subsection (a) (other than paragraph (1)) shall exclude from the term “wages”—
(A)any employer contribution under a qualified cash or deferred arrangement (as defined in section 401(k)) to the extent not included in gross income by reason of section 402(e)(3) or consisting of designated Roth contributions (as defined in section 402A(c)), or
(B)any amount treated as an employer contribution under section 414(h)(2) where the pickup referred to in such section is pursuant to a salary reduction agreement (whether evidenced by a written instrument or otherwise).
(2)Treatment of certain nonqualified deferred compensation plans
(A)In general
Any amount deferred under a nonqualified deferred compensation plan shall be taken into account for purposes of this chapter as of the later of—
(i)when the services are performed, or
(ii)when there is no substantial risk of forfeiture of the rights to such amount.
The preceding sentence shall not apply to any excess parachute payment (as defined in section 280G(b)) or to any specified stock compensation (as defined in section 4985) on which tax is imposed by section 4985.
(B)Taxed only once
Any amount taken into account as wages by reason of subparagraph (A) (and the income attributable thereto) shall not thereafter be treated as wages for purposes of this chapter.
(C)Nonqualified deferred compensation plan
For purposes of this paragraph, the term “nonqualified deferred compensation plan” means any plan or other arrangement for deferral of compensation other than a plan described in subsection (a)(5).
(3)Exempt governmental deferred compensation plan
For purposes of subsection (a)(5), the term “exempt governmental deferred compensation plan” means any plan providing for deferral of compensation established and maintained for its employees by the United States, by a State or political subdivision thereof, or by an agency or instrumentality of any of the foregoing. Such term shall not include—
(A)any plan to which section 83, 402(b), 403(c), 457(a), or 457(f)(1) applies,
(B)any annuity contract described in section 403(b), and
(C)the Thrift Savings Fund (within the meaning of subchapter III of chapter 84 of title 5, United States Code).
(w)Exemption of churches and qualified church-controlled organizations
(1)General rule
Any church or qualified church-controlled organization (as defined in paragraph (3)) may make an election within the time period described in paragraph (2), in accordance with such procedures as the Secretary determines to be appropriate, that services performed in the employ of such church or organization shall be excluded from employment for purposes of title II of the Social Security Act and this chapter. An election may be made under this subsection only if the church or qualified church-controlled organization states that such church or organization is opposed for religious reasons to the payment of the tax imposed under section 3111.
(2)Timing and duration of election
An election under this subsection must be made prior to the first date, more than 90 days after July 18, 1984, on which a quarterly employment tax return for the tax imposed under section 3111 is due, or would be due but for the election, from such church or organization. An election under this subsection shall apply to current and future employees, and shall apply to service performed after December 31, 1983. The election may be revoked by the church or organization under regulations prescribed by the Secretary. The election shall be revoked by the Secretary if such church or organization fails to furnish the information required under section 6051 to the Secretary for a period of 2 years or more with respect to remuneration paid for such services by such church or organization, and, upon request by the Secretary, fails to furnish all such previously unfurnished information for the period covered by the election. Any revocation under the preceding sentence shall apply retroactively to the beginning of the 2-year period for which the information was not furnished.
(3)Definitions
(A)For purposes of this subsection, the term “church” means a church, a convention or association of churches, or an elementary or secondary school which is controlled, operated, or principally supported by a church or by a convention or association of churches.
(B)For purposes of this subsection, the term “qualified church-controlled organization” means any church-controlled tax-exempt organization described in section 501(c)(3), other than an organization which—
(i)offers goods, services, or facilities for sale, other than on an incidental basis, to the general public, other than goods, services, or facilities which are sold at a nominal charge which is substantially less than the cost of providing such goods, services, or facilities; and
(ii)normally receives more than 25 percent of its support from either (I) governmental sources, or (II) receipts from admissions, sales of merchandise, performance of services, or furnishing of facilities, in activities which are not unrelated trades or businesses, or both.
(x)Applicable dollar threshold
For purposes of subsection (a)(7)(B), the term “applicable dollar threshold” means $1,000. In the case of calendar years after 1995, the Commissioner of Social Security shall adjust such $1,000 amount at the same time and in the same manner as under section 215(a)(1)(B)(ii) of the Social Security Act with respect to the amounts referred to in section 215(a)(1)(B)(i) of such Act, except that, for purposes of this paragraph, 1993 shall be substituted for the calendar year referred to in section 215(a)(1)(B)(ii)(II) of such Act. If any amount as adjusted under the preceding sentence is not a multiple of $100, such amount shall be rounded to the next lowest multiple of $100.
(y)Service in the employ of international organizations by certain transferred Federal employees
(1)In general
For purposes of this chapter, service performed in the employ of an international organization by an individual pursuant to a transfer of such individual to such international organization pursuant to section 3582 of title 5, United States Code, shall constitute “employment” if—
(A)immediately before such transfer, such individual performed service with a Federal agency which constituted “employment” under subsection (b) for purposes of the taxes imposed by sections 3101(a) and 3111(a), and
(B)such individual would be entitled, upon separation from such international organization and proper application, to reemployment with such Federal agency under such section 3582.
(2)Definitions
For purposes of this subsection—
(A)Federal agency
The term “Federal agency” means an agency, as defined in section 3581(1) of title 5, United States Code.
(B)International organization
The term “international organization” has the meaning provided such term by section 3581(3) of title 5, United States Code.
(z)Treatment of certain foreign persons as American employers
(1)In general
If any employee of a foreign person is performing services in connection with a contract between the United States Government (or any instrumentality thereof) and any member of any domestically controlled group of entities which includes such foreign person, such foreign person shall be treated for purposes of this chapter as an American employer with respect to such services performed by such employee.
(2)Domestically controlled group of entities
For purposes of this subsection—
(A)In general
The term “domestically controlled group of entities” means a controlled group of entities the common parent of which is a domestic corporation.
(B)Controlled group of entities
The term “controlled group of entities” means a controlled group of corporations as defined in section 1563(a)(1), except that—
(i)“more than 50 percent” shall be substituted for “at least 80 percent” each place it appears therein, and
(ii)the determination shall be made without regard to subsections (a)(4) and (b)(2) of section 1563.
A partnership or any other entity (other than a corporation) shall be treated as a member of a controlled group of entities if such entity is controlled (within the meaning of section 954(d)(3)) by members of such group (including any entity treated as a member of such group by reason of this sentence).
(3)Liability of common parent
In the case of a foreign person who is a member of any domestically controlled group of entities, the common parent of such group shall be jointly and severally liable for any tax under this chapter for which such foreign person is liable by reason of this subsection, and for any penalty imposed on such person by this title with respect to any failure to pay such tax or to file any return or statement with respect to such tax or wages subject to such tax. No deduction shall be allowed under this title for any liability imposed by the preceding sentence.
(4)Provisions preventing double taxation
(A)Agreements
Paragraph (1) shall not apply to any services which are covered by an agreement under subsection (l).
(B)Equivalent foreign taxation
Paragraph (1) shall not apply to any services if the employer establishes to the satisfaction of the Secretary that the remuneration paid by such employer for such services is subject to a tax imposed by a foreign country which is substantially equivalent to the taxes imposed by this chapter.
(5)Cross reference
For relief from taxes in cases covered by certain international agreements, see sections 3101(c) and 3111(c).
(Aug. 16, 1954, ch. 736, 68A Stat. 417; Sept. 1, 1954, ch. 1206, title II, §§ 204(a), (b), 205(a)–(e), 206(a), 207, 209, 68 Stat. 1091–1094; Aug. 1, 1956, ch. 836, title I, §§ 103(j), 121(d), title II, §§ 201(b)–(d), (e)(1), (h)(1), (2), (j)–(l), 70 Stat. 824, 839–841, 843; Aug. 1, 1956, ch. 837, title IV, §§ 410, 411(a), 70 Stat. 878; Pub. L. 85–840, title IV, §§ 402(b), 404(a), 405(a), (b), Aug. 28, 1958, 72 Stat. 1042, 1044–1046; Pub. L. 85–866, title I, § 69, Sept. 2, 1958, 72 Stat. 1659; Pub. L. 86–70, § 22(a), June 25, 1959, 73 Stat. 146; Pub. L. 86–168, title I, § 104(h), title II, § 202(a), Aug. 18, 1959, 73 Stat. 387, 389; Pub. L. 86–624, § 18(c), July 12, 1960, 74 Stat. 416; Pub. L. 86–778, title I, §§ 103(n)–(p), 104(b), 105(a), Sept. 13, 1960, 74 Stat. 938, 939, 942; Pub. L. 87–256, § 110(e)(1), Sept. 21, 1961, 75 Stat. 536; Pub. L. 87–293, title II, § 202(a)(1), (2), Sept. 22, 1961, 75 Stat. 626; Pub. L. 88–272, title II, § 220(c)(2), Feb. 26, 1964, 78 Stat. 62; Pub. L. 88–650, § 4(b), Oct. 13, 1964, 78 Stat. 1077; Pub. L. 89–97, title III, §§ 311(b)(4), (5), 313(c)(3), (4), 316(a)(1), (b), 317(b), 320(b)(2), July 30, 1965, 79 Stat. 381, 383, 386, 388, 393; Pub. L. 90–248, title I, §§ 108(b)(2), 123(b), title IV, § 403(i), title V, § 504(a), Jan. 2, 1968, 81 Stat. 835, 845, 932, 934; Pub. L. 91–172, title IX, § 943(c)(1)–(3), Dec. 30, 1969, 83 Stat. 728; Pub. L. 92–5, title II, § 203(b)(2), Mar. 17, 1971, 85 Stat. 11; Pub. L. 92–336, title II, § 203(b)(2), July 1, 1972, 86 Stat. 419; Pub. L. 92–603, title I, §§ 104(i), 122(b), 123(a)(2), (b), (c)(2), 128(b), 129(a)(2), 138(b), Oct. 30, 1972, 86 Stat. 1341, 1354, 1356, 1358, 1359, 1365; Pub. L. 93–66, title II, § 203(b)(2), (d), July 9, 1973, 87 Stat. 153; Pub. L. 93–233, § 5(b)(2), (d), Dec. 31, 1973, 87 Stat. 954; Pub. L. 94–455, title XII, § 1207(e)(1)(A), title XIX, §§ 1903(a)(3), 1906(b)(13)(A), (C), Oct. 4, 1976, 90 Stat. 1706, 1807, 1834; Pub. L. 94–563, § 1(b), (c), Oct. 19, 1976, 90 Stat. 2655; Pub. L. 95–216, title III, §§ 312(a), (b), (d), (f), (g), 314(a), 315(a), 356(a)–(d), Dec. 20, 1977, 91 Stat. 1532–1536, 1555; Pub. L. 95–472, § 3(b), Oct. 17, 1978, 92 Stat. 1333; Pub. L. 95–600, title I, § 164(b)(3), Nov. 6, 1978, 92 Stat. 2814; Pub. L. 96–222, title I, § 101(a)(10)(B)(i), Apr. 1, 1980, 94 Stat. 201; Pub. L. 96–499, title XI, § 1141(a)(1), Dec. 5, 1980, 94 Stat. 2693; Pub. L. 97–34, title I, § 124(e)(2)(A), Aug. 13, 1981, 95 Stat. 200; Pub. L. 97–123, § 3(b), Dec. 29, 1981, 95 Stat. 1662; Pub. L. 97–248, title II, § 278(a)(1), Sept. 3, 1982, 96 Stat. 559; Pub. L. 98–21, title I, §§ 101(b), (c)(2), 102(b), title III, §§ 321(a), (e)(1), 322(a)(2), 323(a)(1), 324(a), 327(a)(1), (b)(1), 328(a), Apr. 20, 1983, 97 Stat. 69, 70, 118, 119, 121, 122, 126–128; Pub. L. 98–369, div. A, title I, § 67(c), title IV, § 491(d)(36), title V, § 531(d)(1)(A), div. B, title VI, §§ 2601(b), 2603(a)(2), (b), 2661(o)(3), 2663(i), (j)(5)(C), July 18, 1984, 98 Stat. 587, 851, 884, 1124, 1128, 1159, 1169, 1171; Pub. L. 99–221, § 3(b), Dec. 26, 1985, 99 Stat. 1735; Pub. L. 99–272, title XII, § 12112(b), title XIII, §§ 13205(a)(1), 13303(c)(2), Apr. 7, 1986, 100 Stat. 288, 313, 327; Pub. L. 99–335, title III, § 304(b), June 6, 1986, 100 Stat. 606; Pub. L. 99–509, title IX, § 9002(b)(1)(A), (2)(A), Oct. 21, 1986, 100 Stat. 1971; Pub. L. 99–514, title I, § 122(e)(1), title XI, §§ 1108(g)(7), 1147(b), 1151(d)(2)(A), title XVIII, §§ 1882(c), 1883(a)(11)(B), 1895(b)(18)(A), 1899A(38)–(40), Oct. 22, 1986, 100 Stat. 2112, 2435, 2494, 2505, 2915, 2916, 2935, 2960; Pub. L. 100–203, title IX, §§ 9001(b), 9002(b), 9003(a)(2), 9004(b), 9005(b), 9006(a), (b)(2), 9023(d), Dec. 22, 1987, 101 Stat. 1330–286 to 1330–289, 1330–296; Pub. L. 100–647, title I, §§ 1001(d)(2)(C)(i), (g)(4)(B)(i), 1011(e)(8), 1011B(a)(22)(A), (23)(A), 1018(r)(2)(A), (u)(35), title III, § 3043(c)(2), title VIII, §§ 8015(b)(2), (c)(2), 8016(a)(3)(A), (4)(A), (C), 8017(b), Nov. 10, 1988, 102 Stat. 3351, 3352, 3461, 3485, 3486, 3586, 3592, 3642, 3791–3793; Pub. L. 101–140, title II, § 203(a)(2), Nov. 8, 1989, 103 Stat. 830; Pub. L. 101–239, title X, § 10201(a), (b)(3), Dec. 19, 1989, 103 Stat. 2472; Pub. L. 101–508, title XI, §§ 11331(a), 11332(b), Nov. 5, 1990, 104 Stat. 1388–467, 1388–469; Pub. L. 101–650, title III, § 321, Dec. 1, 1990, 104 Stat. 5117; Pub. L. 102–318, title V, § 521(b)(34), July 3, 1992, 106 Stat. 312; Pub. L. 103–66, title XIII, § 13207(a), Aug. 10, 1993, 107 Stat. 467; Pub. L. 103–178, title II, § 204(c), Dec. 3, 1993, 107 Stat. 2033; Pub. L. 103–296, title I, § 108(h)(2), title III, §§ 303(a)(2), (b)(2), 319(a)(1), (5), 320(a)(1)(C), Aug. 15, 1994, 108 Stat. 1487, 1519, 1533–1535; Pub. L. 103–387, § 2(a)(1)(A)–(C), Oct. 22, 1994, 108 Stat. 4071; Pub. L. 104–188, title I, §§ 1116(a)(1)(A), (B), 1421(b)(8)(A), 1458(b)(1), Aug. 20, 1996, 110 Stat. 1762, 1798, 1819; Pub. L. 105–33, title XI, § 11246(b)(2)(A), as added Pub. L. 105–277, div. A, § 101(h) [title VIII, § 802(a)(2)], Oct. 21, 1998, 112 Stat. 2681–480, 2681–532; Pub. L. 105–61, title VI, § 642(d)(2), Oct. 10, 1997, 111 Stat. 1319; Pub. L. 105–206, title VI, § 6023(13), July 22, 1998, 112 Stat. 825; Pub. L. 106–554, § 1(a)(7) [title III, § 319(15)], Dec. 21, 2000, 114 Stat. 2763, 2763A–647; Pub. L. 108–121, title I, § 106(b)(2), Nov. 11, 2003, 117 Stat. 1339; Pub. L. 108–203, title IV, § 423(a), (c), Mar. 2, 2004, 118 Stat. 536; Pub. L. 108–357, title II, § 251(a)(1)(A), title III, § 320(b)(1), title VIII, § 802(c)(1), Oct. 22, 2004, 118 Stat. 1458, 1473, 1568; Pub. L. 108–375, div. A, title V, § 585(b)(2)(B), Oct. 28, 2004, 118 Stat. 1932; Pub. L. 109–280, title VIII, § 854(c)(8), Aug. 17, 2006, 120 Stat. 1018; Pub. L. 110–172, § 8(a)(2), Dec. 29, 2007, 121 Stat. 2483; Pub. L. 110–245, title I, § 115(a)(1), title III, § 302(a), June 17, 2008, 122 Stat. 1636, 1647; Pub. L. 110–458, title I, § 108(k)(1), Dec. 23, 2008, 122 Stat. 5110; Pub. L. 113–295, div. A, title II, § 221(a)(19)(B)(iv), (99)(C)(i), Dec. 19, 2014, 128 Stat. 4040, 4052; Pub. L. 115–141, div. U, title IV, § 401(a)(209), (210), (325)(A), Mar. 23, 2018, 132 Stat. 1194, 1199; Pub. L. 115–243, § 2(b)(2), Sept. 20, 2018, 132 Stat. 2895; Pub. L. 116–94, div. O, title III, § 301(c), Dec. 20, 2019, 133 Stat. 3175; Pub. L. 117–328, div. T, title VII, § 702(b)(1), Dec. 29, 2022, 136 Stat. 5404.)
</t>
  </si>
  <si>
    <t>§199A</t>
  </si>
  <si>
    <t>(a)Allowance of deduction
In the case of a taxpayer other than a corporation, except as provided in subsection (i), there shall be allowed as a deduction for any taxable year an amount equal to the lesser of—
(1)the combined qualified business income amount of the taxpayer, or
(2)an amount equal to 20 percent of the excess (if any) of—
(A)the taxable income of the taxpayer for the taxable year, over
(B)the net capital gain (as defined in section 1(h)) of the taxpayer for such taxable year.
(b)Combined qualified business income amount
For purposes of this section—
(1)In general
The term “combined qualified business income amount” means, with respect to any taxable year, an amount equal to—
(A)the sum of the amounts determined under paragraph (2) for each qualified trade or business carried on by the taxpayer, plus
(B)20 percent of the aggregate amount of the qualified REIT dividends and qualified publicly traded partnership income of the taxpayer for the taxable year.
(2)Determination of deductible amount for each trade or business
The amount determined under this paragraph with respect to any qualified trade or business is the lesser of—
(A)20 percent of the taxpayer’s qualified business income with respect to the qualified trade or business, or
(B)the greater of—
(i)50 percent of the W–2 wages with respect to the qualified trade or business, or
(ii)the sum of 25 percent of the W–2 wages with respect to the qualified trade or business, plus 2.5 percent of the unadjusted basis immediately after acquisition of all qualified property.
(3)Modifications to limit based on taxable income
(A)Exception from limit
In the case of any taxpayer whose taxable income for the taxable year does not exceed the threshold amount, paragraph (2) shall be applied without regard to subparagraph (B).
(B)Phase-in of limit for certain taxpayers
(i)In general
If—
(I)the taxable income of a taxpayer for any taxable year exceeds the threshold amount, but does not exceed the sum of the threshold amount plus $75,000 ($150,000 in the case of a joint return), and
(II)the amount determined under paragraph (2)(B) (determined without regard to this subparagraph) with respect to any qualified trade or business carried on by the taxpayer is less than the amount determined under paragraph (2)(A) with respect such trade or business,
 then paragraph (2) shall be applied with respect to such trade or business without regard to subparagraph (B) thereof and by reducing the amount determined under subparagraph (A) thereof by the amount determined under clause (ii).
(ii)Amount of reduction
The amount determined under this subparagraph is the amount which bears the same ratio to the excess amount as—
(I)the amount by which the taxpayer’s taxable income for the taxable year exceeds the threshold amount, bears to
(II)$75,000 ($150,000 in the case of a joint return).
(iii)Excess amount
For purposes of clause (ii), the excess amount is the excess of—
(I)the amount determined under paragraph (2)(A) (determined without regard to this paragraph), over
(II)the amount determined under paragraph (2)(B) (determined without regard to this paragraph).
(4)Wages, etc.
(A)In general
The term “W–2 wages” means, with respect to any person for any taxable year of such person, the amounts described in paragraphs (3) and (8) of section 6051(a) paid by such person with respect to employment of employees by such person during the calendar year ending during such taxable year.
(B)Limitation to wages attributable to qualified business income
Such term shall not include any amount which is not properly allocable to qualified business income for purposes of subsection (c)(1).
(C)Return requirement
Such term shall not include any amount which is not properly included in a return filed with the Social Security Administration on or before the 60th day after the due date (including extensions) for such return.
(5)Acquisitions, dispositions, and short taxable years
The Secretary shall provide for the application of this subsection in cases of a short taxable year or where the taxpayer acquires, or disposes of, the major portion of a trade or business or the major portion of a separate unit of a trade or business during the taxable year.
(6)Qualified property
For purposes of this section:
(A)In general
The term “qualified property” means, with respect to any qualified trade or business for a taxable year, tangible property of a character subject to the allowance for depreciation under section 167—
(i)which is held by, and available for use in, the qualified trade or business at the close of the taxable year,
(ii)which is used at any point during the taxable year in the production of qualified business income, and
(iii)the depreciable period for which has not ended before the close of the taxable year.
(B)Depreciable period
The term “depreciable period” means, with respect to qualified property of a taxpayer, the period beginning on the date the property was first placed in service by the taxpayer and ending on the later of—
(i)the date that is 10 years after such date, or
(ii)the last day of the last full year in the applicable recovery period that would apply to the property under section 168 (determined without regard to subsection (g) thereof).
(7)Special rule with respect to income received from cooperatives
In the case of any qualified trade or business of a patron of a specified agricultural or horticultural cooperative, the amount determined under paragraph (2) with respect to such trade or business shall be reduced by the lesser of—
(A)9 percent of so much of the qualified business income with respect to such trade or business as is properly allocable to qualified payments received from such cooperative, or
(B)50 percent of so much of the W–2 wages with respect to such trade or business as are so allocable.
(c)Qualified business income
For purposes of this section—
(1)In general
The term “qualified business income” means, for any taxable year, the net amount of qualified items of income, gain, deduction, and loss with respect to any qualified trade or business of the taxpayer. Such term shall not include any qualified REIT dividends or qualified publicly traded partnership income.
(2)Carryover of losses
If the net amount of qualified income, gain, deduction, and loss with respect to qualified trades or businesses of the taxpayer for any taxable year is less than zero, such amount shall be treated as a loss from a qualified trade or business in the succeeding taxable year.
(3)Qualified items of income, gain, deduction, and loss
For purposes of this subsection—
(A)In general
The term “qualified items of income, gain, deduction, and loss” means items of income, gain, deduction, and loss to the extent such items are—
(i)effectively connected with the conduct of a trade or business within the United States (within the meaning of section 864(c), determined by substituting “qualified trade or business (within the meaning of section 199A)” for “nonresident alien individual or a foreign corporation” or for “a [1] foreign corporation” each place it appears), and
(ii)included or allowed in determining taxable income for the taxable year.
(B)Exceptions
The following items shall not be taken into account as a qualified item of income, gain, deduction, or loss:
(i)Any item of short-term capital gain, short-term capital loss, long-term capital gain, or long-term capital loss.
(ii)Any dividend, income equivalent to a dividend, or payment in lieu of dividends described in section 954(c)(1)(G). Any amount described in section 1385(a)(1) shall not be treated as described in this clause.
(iii)Any interest income other than interest income which is properly allocable to a trade or business.
(iv)Any item of gain or loss described in subparagraph (C) or (D) of section 954(c)(1) (applied by substituting “qualified trade or business” for “controlled foreign corporation”).
(v)Any item of income, gain, deduction, or loss taken into account under section 954(c)(1)(F) (determined without regard to clause (ii) thereof and other than items attributable to notional principal contracts entered into in transactions qualifying under section 1221(a)(7)).
(vi)Any amount received from an annuity which is not received in connection with the trade or business.
(vii)Any item of deduction or loss properly allocable to an amount described in any of the preceding clauses.
(4)Treatment of reasonable compensation and guaranteed payments
Qualified business income shall not include—
(A)reasonable compensation paid to the taxpayer by any qualified trade or business of the taxpayer for services rendered with respect to the trade or business,
(B)any guaranteed payment described in section 707(c) paid to a partner for services rendered with respect to the trade or business,
(C)to the extent provided in regulations, any payment described in section 707(a) to a partner for services rendered with respect to the trade or business, and
(D)any amount with respect to which a deduction is allowable to the taxpayer under section 224(a) for the taxable year.
(d)Qualified trade or business
For purposes of this section—
(1)In general
The term “qualified trade or business” means any trade or business other than—
(A)a specified service trade or business, or
(B)the trade or business of performing services as an employee.
(2)Specified service trade or business
The term “specified service trade or business” means any trade or business—
(A)which is described in section 1202(e)(3)(A) (applied without regard to the words “engineering, architecture,”) or which would be so described if the term “employees or owners” were substituted for “employees” therein, or
(B)which involves the performance of services that consist of investing and investment management, trading, or dealing in securities (as defined in section 475(c)(2)), partnership interests, or commodities (as defined in section 475(e)(2)).
(3)Exception for specified service businesses based on taxpayer’s income
(A)In general
If, for any taxable year, the taxable income of any taxpayer is less than the sum of the threshold amount plus $75,000 ($150,000 in the case of a joint return), then—
(i)any specified service trade or business of the taxpayer shall not fail to be treated as a qualified trade or business due to paragraph (1)(A), but
(ii)only the applicable percentage of qualified items of income, gain, deduction, or loss, and the W–2 wages and the unadjusted basis immediately after acquisition of qualified property, of the taxpayer allocable to such specified service trade or business shall be taken into account in computing the qualified business income, W–2 wages, and the unadjusted basis immediately after acquisition of qualified property of the taxpayer for the taxable year for purposes of applying this section.
(B)Applicable percentage
For purposes of subparagraph (A), the term “applicable percentage” means, with respect to any taxable year, 100 percent reduced (not below zero) by the percentage equal to the ratio of—
(i)the taxable income of the taxpayer for the taxable year in excess of the threshold amount, bears to
(ii)$75,000 ($150,000 in the case of a joint return).
(e)Other definitions
For purposes of this section—
(1)Taxable income
Except as otherwise provided in subsection (g)(2)(B), taxable income shall be computed without regard to section 68 and without regard to any deduction allowable under this section.
(2)Threshold amount
(A)In general
The term “threshold amount” means $157,500 (200 percent of such amount in the case of a joint return).
(B)Inflation adjustment
In the case of any taxable year beginning after 2018, the dollar amount in subparagraph (A) shall be increased by an amount equal to—
(i)such dollar amount, multiplied by
(ii)the cost-of-living adjustment determined under section 1(f)(3) for the calendar year in which the taxable year begins, determined by substituting “calendar year 2017” for “calendar year 2016” in subparagraph (A)(ii) thereof.
The amount of any increase under the preceding sentence shall be rounded as provided in section 1(f)(7).
(3)Qualified REIT dividend
The term “qualified REIT dividend” means any dividend from a real estate investment trust received during the taxable year which—
(A)is not a capital gain dividend, as defined in section 857(b)(3), and
(B)is not qualified dividend income, as defined in section 1(h)(11).
(4)Qualified publicly traded partnership income
The term “qualified publicly traded partnership income” means, with respect to any qualified trade or business of a taxpayer, the sum of—
(A)the net amount of such taxpayer’s allocable share of each qualified item of income, gain, deduction, and loss (as defined in subsection (c)(3) and determined after the application of subsection (c)(4)) from a publicly traded partnership (as defined in section 7704(a)) [2] which is not treated as a corporation under section 7704(c), plus
(B)any gain recognized by such taxpayer upon disposition of its interest in such partnership to the extent such gain is treated as an amount realized from the sale or exchange of property other than a capital asset under section 751(a).
(f)Special rules
(1)Application to partnerships and S corporations
(A)In general
In the case of a partnership or S corporation—
(i)this section shall be applied at the partner or shareholder level,
(ii)each partner or shareholder shall take into account such person’s allocable share of each qualified item of income, gain, deduction, and loss, and
(iii)each partner or shareholder shall be treated for purposes of subsection (b) as having W–2 wages and unadjusted basis immediately after acquisition of qualified property for the taxable year in an amount equal to such person’s allocable share of the W–2 wages and the unadjusted basis immediately after acquisition of qualified property of the partnership or S corporation for the taxable year (as determined under regulations prescribed by the Secretary).
For purposes of clause (iii), a partner’s or shareholder’s allocable share of W–2 wages shall be determined in the same manner as the partner’s or shareholder’s allocable share of wage expenses. For purposes of such clause, partner’s or shareholder’s allocable share of the unadjusted basis immediately after acquisition of qualified property shall be determined in the same manner as the partner’s or shareholder’s allocable share of depreciation. For purposes of this subparagraph, in the case of an S corporation, an allocable share shall be the shareholder’s pro rata share of an item.
(B)Application to trusts and estates
Rules similar to the rules under section 199(d)(1)(B)(i) (as in effect on December 1, 2017) for the apportionment of W–2 wages shall apply to the apportionment of W–2 wages and the apportionment of unadjusted basis immediately after acquisition of qualified property under this section.
(C)Treatment of trades or business in Puerto Rico
(i)In general
In the case of any taxpayer with qualified business income from sources within the commonwealth of Puerto Rico, if all such income is taxable under section 1 for such taxable year, then for purposes of determining the qualified business income of such taxpayer for such taxable year, the term “United States” shall include the Commonwealth of Puerto Rico.
(ii)Special rule for applying limit
In the case of any taxpayer described in clause (i), the determination of W–2 wages of such taxpayer with respect to any qualified trade or business conducted in Puerto Rico shall be made without regard to any exclusion under section 3401(a)(8) for remuneration paid for services in Puerto Rico.
(2)Coordination with minimum tax
For purposes of determining alternative minimum taxable income under section 55, qualified business income shall be determined without regard to any adjustments under sections 56 through 59.
(3)Deduction limited to income taxes
The deduction under subsection (a) shall only be allowed for purposes of this chapter.
(4)Regulations
The Secretary shall prescribe such regulations as are necessary to carry out the purposes of this section, including regulations—
(A)for requiring or restricting the allocation of items and wages under this section and such reporting requirements as the Secretary determines appropriate, and
(B)for the application of this section in the case of tiered entities.
(g)Deduction for income attributable to domestic production activities of specified agricultural or horticultural cooperatives
(1)Allowance of deduction
(A)In general
In the case of a taxpayer which is a specified agricultural or horticultural cooperative, there shall be allowed as a deduction an amount equal to 9 percent of the lesser of—
(i)the qualified production activities income of the taxpayer for the taxable year, or
(ii)the taxable income of the taxpayer for the taxable year.
(B)Limitation
(i)In general
The deduction allowable under subparagraph (A) for any taxable year shall not exceed 50 percent of the W–2 wages of the taxpayer for the taxable year.
(ii)W–2 wages
For purposes of this subparagraph, the W–2 wages of the taxpayer shall be determined in the same manner as under subsection (b)(4) (without regard to subparagraph (B) thereof and after application of subsection (b)(5)), except that such wages shall not include any amount which is not properly allocable to domestic production gross receipts for purposes of paragraph (3)(A).
(C)Taxable income of cooperatives determined without regard to certain deductions
For purposes of this subsection, the taxable income of a specified agricultural or horticultural cooperative shall be computed without regard to any deduction allowable under subsection (b) or (c) of section 1382 (relating to patronage dividends, per-unit retain allocations, and nonpatronage distributions).
(2)Deduction allowed to patrons
(A)In general
In the case of any eligible taxpayer who receives a qualified payment from a specified agricultural or horticultural cooperative, there shall be allowed as a deduction for the taxable year in which such payment is received an amount equal to the portion of the deduction allowed under paragraph (1) to such cooperative which is—
(i)allowed with respect to the portion of the qualified production activities income to which such payment is attributable, and
(ii)identified by such cooperative in a written notice mailed to such taxpayer during the payment period described in section 1382(d).
(B)Limitation based on taxable income
The deduction allowed to any taxpayer under this paragraph shall not exceed the taxable income of the taxpayer determined without regard to section 68 or the deduction allowed under this paragraph and after taking into account any deduction allowed to the taxpayer under subsection (a) for the taxable year.
(C)Cooperative denied deduction for portion of qualified payments
The taxable income of a specified agricultural or horticultural cooperative shall not be reduced under section 1382 by reason of that portion of any qualified payment as does not exceed the deduction allowable under subparagraph (A) with respect to such payment.
(D)Eligible taxpayer
For purposes of this paragraph, the term “eligible taxpayer” means—
(i)a taxpayer other than a corporation, or
(ii)a specified agricultural or horticultural cooperative.
(E)Qualified payment
For purposes of this section, the term “qualified payment” means, with respect to any eligible taxpayer, any amount which—
(i)is described in paragraph (1) or (3) of section 1385(a),
(ii)is received by such taxpayer from a specified agricultural or horticultural cooperative, and
(iii)is attributable to qualified production activities income with respect to which a deduction is allowed to such cooperative under paragraph (1).
(3)Qualified production activities income
For purposes of this subsection—
(A)In general
The term “qualified production activities income” for any taxable year means an amount equal to the excess (if any) of—
(i)the taxpayer’s domestic production gross receipts for such taxable year, over
(ii)the sum of—
(I)the cost of goods sold that are allocable to such receipts, and
(II)other expenses, losses, or deductions (other than the deduction allowed under this subsection), which are properly allocable to such receipts.
(B)Allocation method
The Secretary shall prescribe rules for the proper allocation of items described in subparagraph (A) for purposes of determining qualified production activities income. Such rules shall provide for the proper allocation of items whether or not such items are directly allocable to domestic production gross receipts.
(C)Special rules for determining costs
(i)In general
For purposes of determining costs under subclause (I) of subparagraph (A)(ii), any item or service brought into the United States shall be treated as acquired by purchase, and its cost shall be treated as not less than its value immediately after it entered the United States. A similar rule shall apply in determining the adjusted basis of leased or rented property where the lease or rental gives rise to domestic production gross receipts.
(ii)Exports for further manufacture
In the case of any property described in clause (i) that had been exported by the taxpayer for further manufacture, the increase in cost or adjusted basis under clause (i) shall not exceed the difference between the value of the property when exported and the value of the property when brought back into the United States after the further manufacture.
(D)Domestic production gross receipts
(i)In general
The term “domestic production gross receipts” means the gross receipts of the taxpayer which are derived from any lease, rental, license, sale, exchange, or other disposition of any agricultural or horticultural product which was manufactured, produced, grown, or extracted by the taxpayer (determined after the application of paragraph (4)(B)) in whole or significant part within the United States. Such term shall not include gross receipts of the taxpayer which are derived from the lease, rental, license, sale, exchange, or other disposition of land.
(ii)Related persons
(I)In general
The term “domestic production gross receipts” shall not include any gross receipts of the taxpayer derived from property leased, licensed, or rented by the taxpayer for use by any related person.
(II)Related person
For purposes of subclause (I), a person shall be treated as related to another person if such persons are treated as a single employer under subsection (a) or (b) of section 52 or subsection (m) or (o) of section 414, except that determinations under subsections (a) and (b) of section 52 shall be made without regard to section 1563(b).
(4)Specified agricultural or horticultural cooperative
For purposes of this section—
(A)In general
The term “specified agricultural or horticultural cooperative” means an organization to which part I of subchapter T applies which is engaged—
(i)in the manufacturing, production, growth, or extraction in whole or significant part of any agricultural or horticultural product, or
(ii)in the marketing of agricultural or horticultural products.
(B)Application to marketing cooperatives
A specified agricultural or horticultural cooperative described in subparagraph (A)(ii) shall be treated as having manufactured, produced, grown, or extracted in whole or significant part any agricultural or horticultural product marketed by the specified agricultural or horticultural cooperative which its patrons have so manufactured, produced, grown, or extracted.
(5)Definitions and special rules
(A)Special rule for affiliated groups
(i)In general
All members of an expanded affiliated group shall be treated as a single corporation for purposes of this subsection.
(ii)Partnerships owned by expanded affiliated groups
For purposes of paragraph (3)(D), if all of the interests in the capital and profits of a partnership are owned by members of a single expanded affiliated group at all times during the taxable year of such partnership, the partnership and all members of such group shall be treated as a single taxpayer during such period.
(iii)Expanded affiliated group
For purposes of this subsection, the term “expanded affiliated group” means an affiliated group as defined in section 1504(a), determined—
(I)by substituting “more than 50 percent” for “at least 80 percent” each place it appears, and
(II)without regard to paragraphs (2) and (4) of section 1504(b).
(iv)Allocation of deduction
Except as provided in regulations, the deduction under paragraph (1) shall be allocated among the members of the expanded affiliated group in proportion to each member’s respective amount (if any) of qualified production activities income.
(B)Special rule for cooperative partners
In the case of a specified agricultural or horticultural cooperative which is a partner in a partnership, rules similar to the rules of subsection (f)(1) shall apply for purposes of this subsection.
(C)Trade or business requirement
This subsection shall be applied by only taking into account items which are attributable to the actual conduct of a trade or business.
(D)Unrelated business taxable income
For purposes of determining the tax imposed by section 511, this section shall be applied by substituting “unrelated business taxable income” for “taxable income” each place it appears in this section (other than this subparagraph).
(E)Special rule for cooperative with oil related qualified production activities income
(i)In general
If a specified agricultural or horticultural cooperative has oil related qualified production activities income for any taxable year, the amount otherwise allowable as a deduction under paragraph (1) shall be reduced by 3 percent of the least of—
(I)the oil related qualified production activities income of the cooperative for the taxable year,
(II)the qualified production activities income of the cooperative for the taxable year, or
(III)taxable income.
(ii)Oil related qualified production activities income
For purposes of this subparagraph, the term “oil related qualified production activities income” means for any taxable year the qualified production activities income which is attributable to the production, refining, processing, transportation, or distribution of oil, gas, or any primary product thereof (within the meaning of section 927(a)(2)(C), as in effect before its repeal) during such taxable year.
(6)Regulations
The Secretary shall prescribe such regulations as are necessary to carry out the purposes of this subsection, including regulations which prevent more than 1 taxpayer from being allowed a deduction under this subsection with respect to any activity described in paragraph (3)(D)(i). Such regulations shall be based on the regulations applicable to cooperatives and their patrons under section 199 (as in effect before its repeal).
(h)Anti-abuse rules
The Secretary shall—
(1)apply rules similar to the rules under section 179(d)(2) in order to prevent the manipulation of the depreciable period of qualified property using transactions between related parties, and
(2)prescribe rules for determining the unadjusted basis immediately after acquisition of qualified property acquired in like-kind exchanges or involuntary conversions.
(i)Minimum deduction for active qualified business income
(1)In general
In the case of an applicable taxpayer for any taxable year, the deduction allowed under subsection (a) for the taxable year shall be equal to the greater of—
(A)the amount of such deduction determined without regard to this subsection, or
(B)$400.
(2)Applicable taxpayer
For purposes of this subsection—
(A)In general
The term “applicable taxpayer” means, with respect to any taxable year, a taxpayer whose aggregate qualified business income with respect to all active qualified trades or businesses of the taxpayer for such taxable year is at least $1,000.
(B)Active qualified trade or business
The term “active qualified trade or business” means, with respect to any taxpayer for any taxable year, any qualified trade or business of the taxpayer in which the taxpayer materially participates (within the meaning of section 469(h)).
(3)Inflation adjustment
In the case of any taxable year beginning after 2026, the $400 amount in paragraph (1)(B) and the $1,000 amount in paragraph (2)(A) shall each be increased by an amount equal to—
(A)such dollar amount, multiplied by
(B)the cost-of-living adjustment determined under section 1(f)(3) for the calendar year in which the taxable year begins, determined by substituting “calendar year 2025” for “calendar year 2016” in subparagraph (A)(ii) thereof.
If any increase under this paragraph is not a multiple of $5, such increase shall be rounded to the nearest multiple of $5
(Added Pub. L. 115–97, title I, § 11011(a), Dec. 22, 2017, 131 Stat. 2063; amended Pub. L. 115–141, div. T, § 101(a)(1), (2)(A), (C), (b), Mar. 23, 2018, 132 Stat. 1151, 1155; Pub. L. 119–21, title VII, §§ 70105(a), (b), 70111(b), 70201(d), July 4, 2025, 139 Stat. 161, 165, 171.)</t>
  </si>
  <si>
    <t>🚨 Important: Qualified Business Income Deduction Update for [Entity]
How this affects you:
Great news\! Based on your [QBI_Amount] in qualified business income, your entity may be eligible for a deduction of up to 20%, estimated at [Deduction_Estimate]. This deduction can significantly reduce your taxable income. Please note that if your business is a Specified Service Trade or Business (SSTB), the deduction may be limited or phased out based on your total taxable income and the \[W2_Wages] paid by the business.
✅ Verify if your total taxable income is below the threshold for the full 20% deduction
✅ Review your \[W2_Wages] and unadjusted basis immediately after acquisition (UBIA) of qualified property to determine if wage and property limitations apply
✅ Consult with a CPA to confirm your business classification and maximize your eligible deduction
📚 Source: IRC Section 199A
⚠️ Disclaimer: This template is for informational purposes only. Tax laws are subject to change and individual circumstances vary. Please consult with a qualified tax professional to confirm eligibility and compliance for your specific entity.</t>
  </si>
  <si>
    <t>§174</t>
  </si>
  <si>
    <t>(a)In general
In the case of a taxpayer’s foreign research or experimental expenditures for any taxable year—
(1)except as provided in paragraph (2), no deduction shall be allowed for such expenditures, and
(2)the taxpayer shall—
(A)charge such expenditures to capital account, and
(B)be allowed an amortization deduction of such expenditures ratably over the 15-year period beginning with the midpoint of the taxable year in which such expenditures are paid or incurred.
(b)Foreign research or experimental expenditures
For purposes of this section, the term “foreign research or experimental expenditures” means, with respect to any taxable year, research or experimental expenditures which are paid or incurred by the taxpayer during such taxable year in connection with the taxpayer’s trade or business and which are attributable to foreign research (within the meaning of section 41(d)(4)(F)).
(c)Special rules
(1)Land and other property
This section shall not apply to any expenditure for the acquisition or improvement of land, or for the acquisition or improvement of property to be used in connection with the research or experimentation and of a character which is subject to the allowance under section 167 (relating to allowance for depreciation, etc.) or section 611 (relating to allowance for depletion); but for purposes of this section allowances under section 167, and allowances under section 611, shall be considered as expenditures.
(2)Exploration expenditures
This section shall not apply to any expenditure paid or incurred for the purpose of ascertaining the existence, location, extent, or quality of any deposit of ore or other mineral (including oil and gas).
(3)Software development
For purposes of this section, any amount paid or incurred in connection with the development of any software shall be treated as a research or experimental expenditure.
(d)Treatment upon disposition, retirement, or abandonment
If any property with respect to which foreign research or experimental expenditures are paid or incurred is disposed, retired, or abandoned during the period during which such expenditures are allowed as an amortization deduction under this section, no deduction or reduction to amount realized shall be allowed with respect to such expenditures on account of such disposition, retirement, or abandonment and such amortization deduction shall continue with respect to such expenditures.
(Aug. 16, 1954, ch. 736, 68A Stat. 66; Pub. L. 94–455, title XIX, §§ 1901(a)(30), 1906(b)(13)(A), Oct. 4, 1976, 90 Stat. 1769, 1834; Pub. L. 97–248, title II, § 201(d)(9)(B) formerly § 201(c)(9)(B), Sept. 3, 1982, 96 Stat. 420, renumbered § 201(d)(9)(B), Pub. L. 97–448, title III, § 306(a)(1)(A)(i), Jan. 12, 1983, 96 Stat. 2400; amended Pub. L. 99–514, title VII, § 701(e)(4)(D), Oct. 22, 1986, 100 Stat. 2343; Pub. L. 100–647, title I, § 1007(g)(5), Nov. 10, 1988, 102 Stat. 3435; Pub. L. 101–239, title VII, § 7110(d), Dec. 19, 1989, 103 Stat. 2325; Pub. L. 113–295, div. A, title II, § 221(a)(31), (32), Dec. 19, 2014, 128 Stat. 4042; Pub. L. 115–97, title I, § 13206(a), Dec. 22, 2017, 131 Stat. 2111; Pub. L. 119–21, title VII, § 70302(b)(1), July 4, 2025, 139 Stat. 191.)</t>
  </si>
  <si>
    <t>🚨 Important: Foreign R&amp;D Capitalization Update for [Entity]
How this affects you:
IRC Section 174 requires that all foreign research and experimental expenditures, including software development costs, must be capitalized rather than deducted immediately. These expenses must now be amortized ratably over a 15-year period, beginning with the midpoint of the taxable year in which they were incurred.
✅ Identify all foreign-based research, software development, and experimental expenditures
✅ Ensure these costs are moved to a capital account for proper amortization tracking
✅ Update your tax projections to account for the longer 15-year recovery period for foreign R\&amp;D
📚 Source: IRC Section 174
⚠️ Disclaimer: This template is for informational purposes only. Tax laws are subject to change and individual circumstances vary. Please consult with a qualified tax professional to confirm eligibility and compliance for your specific entity.</t>
  </si>
  <si>
    <t>§263A</t>
  </si>
  <si>
    <t>(a)Nondeductibility of certain direct and indirect costs
(1)In general
In the case of any property to which this section applies, any costs described in paragraph (2)—
(A)in the case of property which is inventory in the hands of the taxpayer, shall be included in inventory costs, and
(B)in the case of any other property, shall be capitalized.
(2)Allocable costs
The costs described in this paragraph with respect to any property are—
(A)the direct costs of such property, and
(B)such property’s proper share of those indirect costs (including taxes) part or all of which are allocable to such property.
Any cost which (but for this subsection) could not be taken into account in computing taxable income for any taxable year shall not be treated as a cost described in this paragraph.
(b)Property to which section applies
Except as otherwise provided in this section, this section shall apply to—
(1)Property produced by taxpayer
Real or tangible personal property produced by the taxpayer.
(2)Property acquired for resale
Real or personal property described in section 1221(a)(1) which is acquired by the taxpayer for resale.
For purposes of paragraph (1), the term “tangible personal property” shall include a film, sound recording, video tape, book, or similar property.
(c)General exceptions
(1)Personal use property
This section shall not apply to any property produced by the taxpayer for use by the taxpayer other than in a trade or business or an activity conducted for profit.
(2)Research and experimental expenditures
This section shall not apply to any amount allowable as a deduction under section 174 or 174A.
(3)Certain development and other costs of oil and gas wells or other mineral property
This section shall not apply to any cost allowable as a deduction under section 167(h), 179B, 263(c), 263(i), 291(b)(2), 616, or 617.
(4)Coordination with long-term contract rules
This section shall not apply to any property produced by the taxpayer pursuant to a long-term contract.
(5)Timber and certain ornamental trees
This section shall not apply to—
(A)trees raised, harvested, or grown by the taxpayer other than trees described in clause (ii) of subsection (e)(4)(B) (after application of the last sentence thereof), and
(B)any real property underlying such trees.
(6)Coordination with section 59(e)
Paragraphs (2) and (3) shall apply to any amount allowable as a deduction under section 59(e) for qualified expenditures described in subparagraphs (B), (C), (D), and (E) of paragraph (2) thereof.
(7)Coordination with section 168(k)(5)
This section shall not apply to any amount allowed as a deduction by reason of section 168(k)(5) (relating to special rules for certain plants bearing fruits and nuts).
(d)Exception for farming businesses
(1)Section not to apply to certain property
(A)In general
This section shall not apply to any of the following which is produced by the taxpayer in a farming business:
(i)Any animal.
(ii)Any plant which has a preproductive period of 2 years or less.
(B)Exception for taxpayers required to use accrual method
Subparagraph (A) shall not apply to any corporation, partnership, or tax shelter required to use an accrual method of accounting under section 447 or 448(a)(3).
(2)Treatment of certain plants lost by reason of casualty
(A)In general
If plants bearing an edible crop for human consumption were lost or damaged (while in the hands of the taxpayer) by reason of freezing temperatures, disease, drought, pests, or casualty, this section shall not apply to any costs of the taxpayer of replanting plants bearing the same type of crop (whether on the same parcel of land on which such lost or damaged plants were located or any other parcel of land of the same acreage in the United States).
(B)Special rule for person with minority interest who materially participates
Subparagraph (A) shall apply to amounts paid or incurred by a person (other than the taxpayer described in subparagraph (A)) if—
(i)the taxpayer described in subparagraph (A) has an equity interest of more than 50 percent in the plants described in subparagraph (A) at all times during the taxable year in which such amounts were paid or incurred, and
(ii)such other person holds any part of the remaining equity interest and materially participates in the planting, maintenance, cultivation, or development of the plants described in subparagraph (A) during the taxable year in which such amounts were paid or incurred.
The determination of whether an individual materially participates in any activity shall be made in a manner similar to the manner in which such determination is made under section 2032A(e)(6).
(C)Special temporary rule for citrus plants lost by reason of casualty
(i)In general
In the case of the replanting of citrus plants, subparagraph (A) shall apply to amounts paid or incurred by a person (other than the taxpayer described in subparagraph (A)) if—
(I)the taxpayer described in subparagraph (A) has an equity interest of not less than 50 percent in the replanted citrus plants at all times during the taxable year in which such amounts were paid or incurred and such other person holds any part of the remaining equity interest, or
(II)such other person acquired the entirety of such taxpayer’s equity interest in the land on which the lost or damaged citrus plants were located at the time of such loss or damage, and the replanting is on such land.
(ii)Termination
Clause (i) shall not apply to any cost paid or incurred after the date which is 10 years after the date of the enactment of the Tax Cuts and Jobs Act.
(3)Election to have this section not apply
(A)In general
If a taxpayer makes an election under this paragraph, this section shall not apply to any plant produced in any farming business carried on by such taxpayer.
(B)Certain persons not eligible
No election may be made under this paragraph by a corporation, partnership, or tax shelter, if such corporation, partnership, or tax shelter is required to use an accrual method of accounting under section 447 or 448(a)(3).
(C)Special rule for citrus and almond growers
An election under this paragraph shall not apply with respect to any item which is attributable to the planting, cultivation, maintenance, or development of any citrus or almond grove (or part thereof) and which is incurred before the close of the 4th taxable year beginning with the taxable year in which the trees were planted. For purposes of the preceding sentence, the portion of a citrus or almond grove planted in 1 taxable year shall be treated separately from the portion of such grove planted in another taxable year.
(D)Election
Unless the Secretary otherwise consents, an election under this paragraph may be made only for the taxpayer’s 1st taxable year which begins after December 31, 1986, and during which the taxpayer engages in a farming business. Any such election, once made, may be revoked only with the consent of the Secretary.
(e)Definitions and special rules for purposes of subsection (d)
(1)Recapture of expensed amounts on disposition
(A)In general
In the case of any plant with respect to which amounts would have been capitalized under subsection (a) but for an election under subsection (d)(3)—
(i)such plant (if not otherwise section 1245 property) shall be treated as section 1245 property, and
(ii)for purposes of section 1245, the recapture amount shall be treated as a deduction allowed for depreciation with respect to such property.
(B)Recapture amount
For purposes of subparagraph (A), the term “recapture amount” means any amount allowable as a deduction to the taxpayer which, but for an election under subsection (d)(3), would have been capitalized with respect to the plant.
(2)Effects of election on depreciation
(A)In general
If the taxpayer (or any related person) makes an election under subsection (d)(3), the provisions of section 168(g)(2) (relating to alternative depreciation) shall apply to all property of the taxpayer used predominantly in the farming business and placed in service in any taxable year during which any such election is in effect.
(B)Related person
For purposes of subparagraph (A), the term “related person” means—
(i)the taxpayer and members of the taxpayer’s family,
(ii)any corporation (including an S corporation) if 50 percent or more (in value) of the stock of such corporation is owned (directly or through the application of section 318) by the taxpayer or members of the taxpayer’s family,
(iii)a corporation and any other corporation which is a member of the same controlled group described in section 1563(a)(1), and
(iv)any partnership if 50 percent or more (in value) of the interests in such partnership is owned directly or indirectly by the taxpayer or members of the taxpayer’s family.
(C)Members of family
For purposes of this paragraph, the term “family” means the taxpayer, the spouse of the taxpayer, and any of their children who have not attained age 18 before the close of the taxable year.
(3)Preproductive period
(A)In general
For purposes of this section, the term “preproductive period” means—
(i)in the case of a plant which will have more than 1 crop or yield, the period before the 1st marketable crop or yield from such plant, or
(ii)in the case of any other plant, the period before such plant is reasonably expected to be disposed of.
For purposes of this subparagraph, use by the taxpayer in a farming business of any supply produced in such business shall be treated as a disposition.
(B)Rule for determining period
In the case of a plant grown in commercial quantities in the United States, the preproductive period for such plant if grown in the United States shall be based on the nationwide weighted average preproductive period for such plant.
(4)Farming business
For purposes of this section—
(A)In general
The term “farming business” means the trade or business of farming.
(B)Certain trades and businesses included
The term “farming business” shall include the trade or business of—
(i)operating a nursery or sod farm, or
(ii)the raising or harvesting of trees bearing fruit, nuts, or other crops, or ornamental trees.
For purposes of clause (ii), an evergreen tree which is more than 6 years old at the time severed from the roots shall not be treated as an ornamental tree.
(5)Certain inventory valuation methods permitted
The Secretary shall by regulations permit the taxpayer to use reasonable inventory valuation methods to compute the amount required to be capitalized under subsection (a) in the case of any plant.
(f)Special rules for allocation of interest to property produced by the taxpayer
(1)Interest capitalized only in certain cases
Subsection (a) shall only apply to interest costs which are—
(A)paid or incurred during the production period, and
(B)allocable to property which is described in subsection (b)(1) and which has—
(i)a long useful life,
(ii)an estimated production period exceeding 2 years, or
(iii)an estimated production period exceeding 1 year and a cost exceeding $1,000,000.
(2)Allocation rules
(A)In general
In determining the amount of interest required to be capitalized under subsection (a) with respect to any property—
(i)interest on any indebtedness directly attributable to production expenditures with respect to such property shall be assigned to such property, and
(ii)interest on any other indebtedness shall be assigned to such property to the extent that the taxpayer’s interest costs could have been reduced if production expenditures (not attributable to indebtedness described in clause (i)) had not been incurred.
(B)Exception for qualified residence interest
Subparagraph (A) shall not apply to any qualified residence interest (within the meaning of section 163(h)).
(C)Special rule for flow-through entities
Except as provided in regulations, in the case of any flow-through entity, this paragraph shall be applied first at the entity level and then at the beneficiary level.
(3)Interest relating to property used to produce property
This subsection shall apply to any interest on indebtedness allocable (as determined under paragraph (2)) to property used to produce property to which this subsection applies to the extent such interest is allocable (as so determined) to the produced property.
(4)Exemption for aging process of beer, wine, and distilled spirits
For purposes of this subsection, the production period shall not include the aging period for—
(A)beer (as defined in section 5052(a)),
(B)wine (as described in section 5041(a)), or
(C)distilled spirits (as defined in section 5002(a)(8)), except such spirits that are unfit for use for beverage purposes.
(5)Definitions
For purposes of this subsection—
(A)Long useful life
Property has a long useful life if such property is—
(i)real property, or
(ii)property with a class life of 20 years or more (as determined under section 168).
(B)Production period
The term “production period” means, when used with respect to any property, the period—
(i)beginning on the date on which production of the property begins, and
(ii)except as provided in paragraph (4), ending on the date on which the property is ready to be placed in service or is ready to be held for sale.
(C)Production expenditures
The term “production expenditures” means the costs (whether or not incurred during the production period) required to be capitalized under subsection (a) with respect to the property.
(g)Production
For purposes of this section—
(1)In general
The term “produce” includes construct, build, install, manufacture, develop, or improve.
(2)Treatment of property produced under contract for the taxpayer
The taxpayer shall be treated as producing any property produced for the taxpayer under a contract with the taxpayer; except that only costs paid or incurred by the taxpayer (whether under such contract or otherwise) shall be taken into account in applying subsection (a) to the taxpayer.
(h)Exemption for free lance authors, photographers, and artists
(1)In general
Nothing in this section shall require the capitalization of any qualified creative expense.
(2)Qualified creative expense
For purposes of this subsection, the term “qualified creative expense” means any expense—
(A)which is paid or incurred by an individual in the trade or business of such individual (other than as an employee) of being a writer, photographer, or artist, and
(B)which, without regard to this section, would be allowable as a deduction for the taxable year.
Such term does not include any expense related to printing, photographic plates, motion picture films, video tapes, or similar items.
(3)Definitions
For purposes of this subsection—
(A)Writer
The term “writer” means any individual if the personal efforts of such individual create (or may reasonably be expected to create) a literary manuscript, musical composition (including any accompanying words), or dance score.
(B)Photographer
The term “photographer” means any individual if the personal efforts of such individual create (or may reasonably be expected to create) a photograph or photographic negative or transparency.
(C)Artist
(i)In general
The term “artist” means any individual if the personal efforts of such individual create (or may reasonably be expected to create) a picture, painting, sculpture, statue, etching, drawing, cartoon, graphic design, or original print edition.
(ii)Criteria
In determining whether any expense is paid or incurred in the trade or business of being an artist, the following criteria shall be taken into account:
(I)The originality and uniqueness of the item created (or to be created).
(II)The predominance of aesthetic value over utilitarian value of the item created (or to be created).
(D)Treatment of certain corporations
(i)In general
If—
(I)substantially all of the stock of a corporation is owned by a qualified employee-owner and members of his family (as defined in section 267(c)(4)), and
(II)the principal activity of such corporation is performance of personal services directly related to the activities of the qualified employee-owner and such services are substantially performed by the qualified employee-owner,
 this subsection shall apply to any expense of such corporation which directly relates to the activities of such employee-owner in the same manner as if such expense were incurred by such employee-owner.
(ii)Qualified employee-owner
For purposes of this subparagraph, the term “qualified employee-owner” means any individual who is an employee-owner of the corporation (as defined in section 269A(b)(2)) and who is a writer, photographer, or artist.
(i)Exemption for certain small businesses
(1)In general
In the case of any taxpayer (other than a tax shelter prohibited from using the cash receipts and disbursements method of accounting under section 448(a)(3)) which meets the gross receipts test of section 448(c) for any taxable year, this section shall not apply with respect to such taxpayer for such taxable year.
(2)Application of gross receipts test to individuals, etc.
In the case of any taxpayer which is not a corporation or a partnership, the gross receipts test of section 448(c) shall be applied in the same manner as if each trade or business of such taxpayer were a corporation or partnership.
(3)Coordination with section 481
Any change in method of accounting made pursuant to this subsection shall be treated for purposes of section 481 as initiated by the taxpayer and made with the consent of the Secretary.
(j)Regulations
The Secretary shall prescribe such regulations as may be necessary or appropriate to carry out the purposes of this section, including—
(1)regulations to prevent the use of related parties, pass-thru entities, or intermediaries to avoid the application of this section, and
(2)regulations providing for simplified procedures for the application of this section in the case of property described in subsection (b)(2).
(Added Pub. L. 99–514, title VIII, § 803(a), Oct. 22, 1986, 100 Stat. 2350; amended Pub. L. 100–647, title I, § 1008(b)(1)–(4), title VI, § 6026(a)–(c), Nov. 10, 1988, 102 Stat. 3437, 3438, 3691–3693; Pub. L. 101–239, title VII, § 7816(d)(1), Dec. 19, 1989, 103 Stat. 2420; Pub. L. 106–170, title V, § 532(c)(2)(B), Dec. 17, 1999, 113 Stat. 1930; Pub. L. 108–357, title III, § 338(b)(2), Oct. 22, 2004, 118 Stat. 1481; Pub. L. 109–58, title XIII, § 1329(b), Aug. 8, 2005, 119 Stat. 1020; Pub. L. 114–113, div. Q, title I, § 143(b)(6)(H), Dec. 18, 2015, 129 Stat. 3064; Pub. L. 115–97, title I, §§ 13102(b), 13207(a), 13801(a), (b), Dec. 22, 2017, 131 Stat. 2103, 2113, 2169, 2170; Pub. L. 116–94, div. Q, title I, § 144(a)(1), Dec. 20, 2019, 133 Stat. 3234; Pub. L. 116–260, div. EE, title I, § 106(a)(1), Dec. 27, 2020, 134 Stat. 3041; Pub. L. 119–21, title VII, § 70302(b)(7)(B), July 4, 2025, 139 Stat. 192.)</t>
  </si>
  <si>
    <t>🚨 Important: UNICAP Compliance Update for [Entity]
How this affects you:
IRC Section 263A (UNICAP) requires your business to capitalize certain direct and indirect costs into inventory or asset basis rather than deducting them as current expenses. If your average annual gross receipts exceed the [Threshold] small business exemption, you must capitalize costs like direct labor, materials, and a share of overhead allocable to produced or resold property.
✅ Identify all direct and indirect production or resale costs for capitalization
✅ Verify if your average annual gross receipts are below the [Threshold] exemption limit
✅ Ensure your QuickBooks Chart of Accounts correctly tracks inventory and capitalized overhead
📚 Source: IRC Section 263A
⚠️ Disclaimer: This template is for informational purposes only. Tax laws are subject to change and individual circumstances vary. Please consult with a qualified tax professional to confirm eligibility and compliance for your specific entity.</t>
  </si>
  <si>
    <t>§163(j)</t>
  </si>
  <si>
    <t>(j)Limitation on business interest
(1)In general
The amount allowed as a deduction under this chapter for any taxable year for business interest shall not exceed the sum of—
(A)the business interest income of such taxpayer for such taxable year,
(B)30 percent of the adjusted taxable income of such taxpayer for such taxable year, plus
(C)the floor plan financing interest of such taxpayer for such taxable year.
The amount determined under subparagraph (B) shall not be less than zero.
(2)Carryforward of disallowed business interest
The amount of any business interest not allowed as a deduction for any taxable year by reason of paragraph (1) shall be treated as business interest paid or accrued in the succeeding taxable year.
(3)Exemption for certain small businesses
In the case of any taxpayer (other than a tax shelter prohibited from using the cash receipts and disbursements method of accounting under section 448(a)(3)) which meets the gross receipts test of section 448(c) for any taxable year, paragraph (1) shall not apply to such taxpayer for such taxable year. In the case of any taxpayer which is not a corporation or a partnership, the gross receipts test of section 448(c) shall be applied in the same manner as if such taxpayer were a corporation or partnership.
(4)Application to partnerships, etc.
(A)In general
In the case of any partnership—
(i)this subsection shall be applied at the partnership level and any deduction for business interest shall be taken into account in determining the non-separately stated taxable income or loss of the partnership, and
(ii)the adjusted taxable income of each partner of such partnership—
(I)shall be determined without regard to such partner’s distributive share of any items of income, gain, deduction, or loss of such partnership, and
(II)shall be increased by such partner’s distributive share of such partnership’s excess taxable income.
 For purposes of clause (ii)(II), a partner’s distributive share of partnership excess taxable income shall be determined in the same manner as the partner’s distributive share of nonseparately stated taxable income or loss of the partnership.
(B)Special rules for carryforwards
(i)In general
The amount of any business interest not allowed as a deduction to a partnership for any taxable year by reason of paragraph (1) for any taxable year—
(I)shall not be treated under paragraph (2) as business interest paid or accrued by the partnership in the succeeding taxable year, and
(II)shall, subject to clause (ii), be treated as excess business interest which is allocated to each partner in the same manner as the non-separately stated taxable income or loss of the partnership.
(ii)Treatment of excess business interest allocated to partners
If a partner is allocated any excess business interest from a partnership under clause (i) for any taxable year—
(I)such excess business interest shall be treated as business interest paid or accrued by the partner in the next succeeding taxable year in which the partner is allocated excess taxable income from such partnership, but only to the extent of such excess taxable income, and
(II)any portion of such excess business interest remaining after the application of subclause (I) shall, subject to the limitations of subclause (I), be treated as business interest paid or accrued in succeeding taxable years.
 For purposes of applying this paragraph, excess taxable income allocated to a partner from a partnership for any taxable year shall not be taken into account under paragraph (1)(A) with respect to any business interest other than excess business interest from the partnership until all such excess business interest for such taxable year and all preceding taxable years has been treated as paid or accrued under clause (ii).
(iii)Basis adjustments
(I)In general
The adjusted basis of a partner in a partnership interest shall be reduced (but not below zero) by the amount of excess business interest allocated to the partner under clause (i)(II).
(II)Special rule for dispositions
If a partner disposes of a partnership interest, the adjusted basis of the partner in the partnership interest shall be increased immediately before the disposition by the amount of the excess (if any) of the amount of the basis reduction under subclause (I) over the portion of any excess business interest allocated to the partner under clause (i)(II) which has previously been treated under clause (ii) as business interest paid or accrued by the partner. The preceding sentence shall also apply to transfers of the partnership interest (including by reason of death) in a transaction in which gain is not recognized in whole or in part. No deduction shall be allowed to the transferor or transferee under this chapter for any excess business interest resulting in a basis increase under this subclause.
(C)Excess taxable income
The term “excess taxable income” means, with respect to any partnership, the amount which bears the same ratio to the partnership’s adjusted taxable income as—
(i)the excess (if any) of—
(I)the amount determined for the partnership under paragraph (1)(B), over
(II)the amount (if any) by which the business interest of the partnership, reduced by the floor plan financing interest, exceeds the business interest income of the partnership, bears to
(ii)the amount determined for the partnership under paragraph (1)(B).
(D)Application to S corporations
Rules similar to the rules of subparagraphs (A) and (C) shall apply with respect to any S corporation and its shareholders.
(5)Business interest
For purposes of this subsection, the term “business interest” means any interest paid or accrued on indebtedness properly allocable to a trade or business. Such term shall not include investment interest (within the meaning of subsection (d)). Such term shall not include any interest which is capitalized under section 263(g) or 263A(f).
(6)Business interest income
For purposes of this subsection, the term “business interest income” means the amount of interest includible in the gross income of the taxpayer for the taxable year which is properly allocable to a trade or business. Such term shall not include investment income (within the meaning of subsection (d)).
(7)Trade or business
For purposes of this subsection—
(A)In general
The term “trade or business” shall not include—
(i)the trade or business of performing services as an employee,
(ii)any electing real property trade or business,
(iii)any electing farming business, or
(iv)the trade or business of the furnishing or sale of—
(I)electrical energy, water, or sewage disposal services,
(II)gas or steam through a local distribution system, or
(III)transportation of gas or steam by pipeline,
 if the rates for such furnishing or sale, as the case may be, have been established or approved by a State or political subdivision thereof, by any agency or instrumentality of the United States, by a public service or public utility commission or other similar body of any State or political subdivision thereof, or by the governing or ratemaking body of an electric cooperative.
(B)Electing real property trade or business
For purposes of this paragraph, the term “electing real property trade or business” means any trade or business which is described in section 469(c)(7)(C) and which makes an election under this subparagraph. Any such election shall be made at such time and in such manner as the Secretary shall prescribe, and, once made, shall be irrevocable.
(C)Electing farming business
For purposes of this paragraph, the term “electing farming business” means—
(i)a farming business (as defined in section 263A(e)(4)) which makes an election under this subparagraph, or
(ii)any trade or business of a specified agricultural or horticultural cooperative (as defined in section 199A(g)(2)) [1] with respect to which the cooperative makes an election under this subparagraph.
Any such election shall be made at such time and in such manner as the Secretary shall prescribe, and, once made, shall be irrevocable.
(8)Adjusted taxable income
For purposes of this subsection, the term “adjusted taxable income” means the taxable income of the taxpayer—
(A)computed without regard to—
(i)any item of income, gain, deduction, or loss which is not properly allocable to a trade or business,
(ii)any business interest or business interest income,
(iii)the amount of any net operating loss deduction under section 172,
(iv)the amount of any deduction allowed under section 199A,
(v)any deduction allowable for depreciation, amortization, or depletion, and
(vi)the amounts included in gross income under sections 951(a), 951A(a), and 78 (and the portion of the deductions allowed under sections 245A(a) (by reason of section 964(e)(4)) and 250(a)(1)(B) by reason of such inclusions), and
(B)computed with such other adjustments as provided by the Secretary.
(9)Floor plan financing interest defined
For purposes of this subsection—
(A)In general
The term “floor plan financing interest” means interest paid or accrued on floor plan financing indebtedness.
(B)Floor plan financing indebtedness
The term “floor plan financing indebtedness” means indebtedness—
(i)used to finance the acquisition of motor vehicles held for sale or lease, and
(ii)secured by the inventory so acquired.
(C)Motor vehicle
The term “motor vehicle” means a motor vehicle that is any of the following:
(i)Any self-propelled vehicle designed for transporting persons or property on a public street, highway, or road.
(ii)A boat.
(iii)Farm machinery or equipment.
Such term shall also include any trailer or camper which is designed to provide temporary living quarters for recreational, camping, or seasonal use and is designed to be towed by, or affixed to, a motor vehicle.
(10)Coordination with interest capitalization provisions
(A)In general
In applying this subsection—
(i)the limitation under paragraph (1) shall apply to business interest without regard to whether the taxpayer would otherwise deduct such business interest or capitalize such business interest under an interest capitalization provision, and
(ii)any reference in this subsection to a deduction for business interest shall be treated as including a reference to the capitalization of business interest.
(B)Amount allowed applied first to capitalized interest
The amount allowed after taking into account the limitation described in paragraph (1)—
(i)shall be applied first to the aggregate amount of business interest which would otherwise be capitalized, and
(ii)the remainder (if any) shall be applied to the aggregate amount of business interest which would be deducted.
(C)Treatment of disallowed interest carried forward
No portion of any business interest carried forward under paragraph (2) from any taxable year to any succeeding taxable year shall, for purposes of this title (including any interest capitalization provision which previously applied to such portion) be treated as interest to which an interest capitalization provision applies.
(D)Interest capitalization provision
For purposes of this section, the term “interest capitalization provision” means any provision of this subtitle under which interest—
(i)is required to be charged to capital account, or
(ii)may be deducted or charged to capital account.
(11)Regulatory authority
The Secretary shall issue such regulations or guidance as may be necessary or appropriate to carry out the purposes of this subsection, including regulations or guidance to determine which business interest is taken into account under this subsection and section 59A(c)(3).
(12)Special rule for taxable years beginning in 2019 and 2020
(A)In general
(i)In general
Except as provided in clause (ii) or (iii), in the case of any taxable year beginning in 2019 or 2020, paragraph (1)(B) shall be applied by substituting “50 percent” for “30 percent”.
(ii)Special rule for partnerships
In the case of a partnership—
(I)clause (i) shall not apply to any taxable year beginning in 2019, but
(II)unless a partner elects not to have this subclause apply, in the case of any excess business interest of the partnership for any taxable year beginning in 2019 which is allocated to the partner under paragraph (4)(B)(i)(II)—
(aa)50 percent of such excess business interest shall be treated as business interest which, notwithstanding paragraph (4)(B)(ii), is paid or accrued by the partner in the partner’s first taxable year beginning in 2020 and which is not subject to the limits of paragraph (1), and
(bb)50 percent of such excess business interest shall be subject to the limitations of paragraph (4)(B)(ii) in the same manner as any other excess business interest so allocated.
(iii)Election out
A taxpayer may elect, at such time and in such manner as the Secretary may prescribe, not to have clause (i) apply to any taxable year. Such an election, once made, may be revoked only with the consent of the Secretary. In the case of a partnership, any such election shall be made by the partnership and may be made only for taxable years beginning in 2020.
(B)Election to use 2019 adjusted taxable income for taxable years beginning in 2020
(i)In general
Subject to clause (ii), in the case of any taxable year beginning in 2020, the taxpayer may elect to apply this subsection by substituting the adjusted taxable income of the taxpayer for the last taxable year beginning in 2019 for the adjusted taxable income for such taxable year. In the case of a partnership, any such election shall be made by the partnership.
(ii)Special rule for short taxable years
If an election is made under clause (i) for a taxable year which is a short taxable year, the adjusted taxable income for the taxpayer’s last taxable year beginning in 2019 which is substituted under clause (i) shall be equal to the amount which bears the same ratio to such adjusted taxable income determined without regard to this clause as the number of months in the short taxable year bears to 12 [2]
(13)Cross references
(A)For requirement that an electing real property trade or business use the alternative depreciation system, see section 168(g)(1)(F).
(B)For requirement that an electing farming business use the alternative depreciation system, see section 168(g)(1)(G).</t>
  </si>
  <si>
    <t>🚨 Important: Business Interest Deduction Update for [Entity]
How this affects you:
Based on your [Interest_Expense] and [EBITDA], your business interest deduction is generally limited to 30% of your adjusted taxable income. We estimate your current deduction limit at [Deduction_Limit], with a potential \[Disallowed\_Amount\] to be carried forward. This carryforward note ensures that any disallowed interest is not lost but can be treated as an expense in succeeding taxable years.
✅ Review your [EBITDA] and adjusted taxable income calculations for accuracy
✅ Implement a system for detailed interest tracking to manage carryforwards
✅ Consult with a CPA to evaluate debt structuring or potential elections
📚 Source: IRC Section 163(j)
⚠️ Disclaimer: This template is for informational purposes only. Tax laws are subject to change and individual circumstances vary. Please consult with a qualified tax professional to confirm eligibility and compliance for your specific entity.</t>
  </si>
  <si>
    <t>§274</t>
  </si>
  <si>
    <t>(a)Entertainment, amusement, recreation, or qualified transportation fringes
(1)In general
No deduction otherwise allowable under this chapter shall be allowed for any item—
(A)Activity
With respect to an activity which is of a type generally considered to constitute entertainment, amusement, or recreation, or
(B)Facility
With respect to a facility used in connection with an activity referred to in subparagraph (A).
(2)Special rules
For purposes of applying paragraph (1)—
(A)Dues or fees to any social, athletic, or sporting club or organization shall be treated as items with respect to facilities.
(B)An activity described in section 212 shall be treated as a trade or business.
(3)Denial of deduction for club dues
Notwithstanding the preceding provisions of this subsection, no deduction shall be allowed under this chapter for amounts paid or incurred for membership in any club organized for business, pleasure, recreation, or other social purpose.
(4)Qualified transportation fringes
No deduction shall be allowed under this chapter for the expense of any qualified transportation fringe (as defined in section 132(f)) provided to an employee of the taxpayer.
(b)Gifts
(1)Limitation
No deduction shall be allowed under section 162 or section 212 for any expense for gifts made directly or indirectly to any individual to the extent that such expense, when added to prior expenses of the taxpayer for gifts made to such individual during the same taxable year, exceeds $25. For purposes of this section, the term “gift” means any item excludable from gross income of the recipient under section 102 which is not excludable from his gross income under any other provision of this chapter, but such term does not include—
(A)an item having a cost to the taxpayer not in excess of $4.00 on which the name of the taxpayer is clearly and permanently imprinted and which is one of a number of identical items distributed generally by the taxpayer, or
(B)a sign, display rack, or other promotional material to be used on the business premises of the recipient.
(2)Special rules
(A)In the case of a gift by a partnership, the limitation contained in paragraph (1) shall apply to the partnership as well as to each member thereof.
(B)For purposes of paragraph (1), a husband and wife shall be treated as one taxpayer.
(c)Certain foreign travel
(1)In general
In the case of any individual who travels outside the United States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is not allocable to such trade or business or to such activity.
(2)Exception
Paragraph (1) shall not apply to the expenses of any travel outside the United States away from home if—
(A)such travel does not exceed one week, or
(B)the portion of the time of travel outside the United States away from home which is not attributable to the pursuit of the taxpayer’s trade or business or an activity described in section 212 is less than 25 percent of the total time on such travel.
(3)Domestic travel excluded
For purposes of this subsection, travel outside the United States does not include any travel from one point in the United States to another point in the United States.
(d)Substantiation required
No deduction or credit shall be allowed—
(1)under section 162 or 212 for any traveling expense (including meals and lodging while away from home),
(2)for any expense for gifts, or
(3)with respect to any listed property (as defined in section 280F(d)(4)),
unless the taxpayer substantiates by adequate records or by sufficient evidence corroborating the taxpayer’s own statement (A) the amount of such expense or other item, (B) the time and place of the travel or the date and description of the gift, (C) the business purpose of the expense or other item, and (D) the business relationship to the taxpayer of the person receiving the benefit. The Secretary may by regulations provide that some or all of the requirements of the preceding sentence shall not apply in the case of an expense which does not exceed an amount prescribed pursuant to such regulations. This subsection shall not apply to any qualified nonpersonal use vehicle (as defined in subsection (i)).
(e)Specific exceptions to application of subsection (a)
Subsection (a) shall not apply to—
(1)Food and beverages for employees
Expenses for food and beverages (and facilities used in connection therewith) furnished on the business premises of the taxpayer primarily for his employees.
(2)Expenses treated as compensation
(A)In general
Except as provided in subparagraph (B), expenses for goods, services, and facilities, to the extent that the expenses are treated by the taxpayer, with respect to the recipient of the entertainment, amusement, or recreation, as compensation to an employee on the taxpayer’s return of tax under this chapter and as wages to such employee for purposes of chapter 24 (relating to withholding of income tax at source on wages).
(B)Specified individuals
(i)In general
In the case of a recipient who is a specified individual, subparagraph (A) and paragraph (9) shall each be applied by substituting “to the extent that the expenses do not exceed the amount of the expenses which” for “to the extent that the expenses”.
(ii)Specified individual
For purposes of clause (i), the term “specified individual” means any individual who—
(I)is subject to the requirements of section 16(a) of the Securities Exchange Act of 1934 with respect to the taxpayer or a related party to the taxpayer, or
(II)would be subject to such requirements if the taxpayer (or such related party) were an issuer of equity securities referred to in such section.
 For purposes of this clause, a person is a related party with respect to another person if such person bears a relationship to such other person described in section 267(b) or 707(b).
(3)Reimbursed expenses
Expenses paid or incurred by the taxpayer, in connection with the performance by him of services for another person (whether or not such other person is his employer), under a reimbursement or other expense allowance arrangement with such other person, but this paragraph shall apply—
(A)where the services are performed for an employer, only if the employer has not treated such expenses in the manner provided in paragraph (2), or
(B)where the services are performed for a person other than an employer, only if the taxpayer accounts (to the extent provided by subsection (d)) to such person.
(4)Recreational, etc., expenses for employees
Expenses for recreational, social, or similar activities (including facilities therefor) primarily for the benefit of employees (other than employees who are highly compensated employees (within the meaning of section 414(q))). For purposes of this paragraph, an individual owning less than a 10-percent interest in the taxpayer’s trade or business shall not be considered a shareholder or other owner, and for such purposes an individual shall be treated as owning any interest owned by a member of his family (within the meaning of section 267(c)(4)). This paragraph shall not apply for purposes of subsection (a)(3).
(5)Employees, stockholder, etc., business meetings
Expenses incurred by a taxpayer which are directly related to business meetings of his employees, stockholders, agents, or directors.
(6)Meetings of business leagues, etc.
Expenses directly related and necessary to attendance at a business meeting or convention of any organization described in section 501(c)(6) (relating to business leagues, chambers of commerce, real estate boards, and boards of trade) and exempt from taxation under section 501(a).
(7)Items available to public
Expenses for goods, services, and facilities made available by the taxpayer to the general public.
(8)Entertainment sold to customers
Expenses for goods or services (including the use of facilities) which are sold by the taxpayer in a bona fide transaction for an adequate and full consideration in money or money’s worth.
(9)Expenses includible in income of persons who are not employees
Expenses paid or incurred by the taxpayer for goods, services, and facilities to the extent that the expenses are includible in the gross income of a recipient of the entertainment, amusement, or recreation who is not an employee of the taxpayer as compensation for services rendered or as a prize or award under section 74. The preceding sentence shall not apply to any amount paid or incurred by the taxpayer if such amount is required to be included (or would be so required except that the amount is less than $600) in any information return filed by such taxpayer under part III of subchapter A of chapter 61 and is not so included.
For purposes of this subsection, any item referred to in subsection (a) shall be treated as an expense.
(f)Interest, taxes, casualty losses, etc.
This section shall not apply to any deduction allowable to the taxpayer without regard to its connection with his trade or business (or with his income-producing activity). In the case of a taxpayer which is not an individual, the preceding sentence shall be applied as if it were an individual.
(g)Treatment of entertainment, etc., type facility
For purposes of this chapter, if deductions are disallowed under subsection (a) with respect to any portion of a facility, such portion shall be treated as an asset which is used for personal, living, and family purposes (and not as an asset used in the trade or business).
(h)Attendance at conventions, etc.
(1)In general
In the case of any individual who attends a convention, seminar, or similar meeting which is held outside the North American area, no deduction shall be allowed under section 162 for expenses allocable to such meeting unless the taxpayer establishes that the meeting is directly related to the active conduct of his trade or business and that, after taking into account in the manner provided by regulations prescribed by the Secretary—
(A)the purpose of such meeting and the activities taking place at such meeting,
(B)the purposes and activities of the sponsoring organizations or groups,
(C)the residences of the active members of the sponsoring organization and the places at which other meetings of the sponsoring organization or groups have been held or will be held, and
(D)such other relevant factors as the taxpayer may present,
it is as reasonable for the meeting to be held outside the North American area as within the North American area.
(2)Conventions on cruise ships
In the case of any individual who attends a convention, seminar, or other meeting which is held on any cruise ship, no deduction shall be allowed under section 162 for expenses allocable to such meeting, unless the taxpayer meets the requirements of paragraph (5) and establishes that the meeting is directly related to the active conduct of his trade or business and that—
(A)the cruise ship is a vessel registered in the United States; and
(B)all ports of call of such cruise ship are located in the United States or in possessions of the United States.
With respect to cruises beginning in any calendar year, not more than $2,000 of the expenses attributable to an individual attending one or more meetings may be taken into account under section 162 by reason of the preceding sentence.
(3)Definitions
For purposes of this subsection—
(A)North American area
The term “North American area” means the United States, its possessions, and the Trust Territory of the Pacific Islands, and Canada and Mexico.
(B)Cruise ship
The term “cruise ship” means any vessel sailing within or without the territorial waters of the United States.
(4)Subsection to apply to employer as well as to traveler
(A)Except as provided in subparagraph (B), this subsection shall apply to deductions otherwise allowable under section 162 to any person, whether or not such person is the individual attending the convention, seminar, or similar meeting.
(B)This subsection shall not deny a deduction to any person other than the individual attending the convention, seminar, or similar meeting with respect to any amount paid by such person to or on behalf of such individual if includible in the gross income of such individual. The preceding sentence shall not apply if the amount is required to be included in any information return filed by such person under part III of subchapter A of chapter 61 and is not so included.
(5)Reporting requirements
No deduction shall be allowed under section 162 for expenses allocable to attendance at a convention, seminar, or similar meeting on any cruise ship unless the taxpayer claiming the deduction attaches to the return of tax on which the deduction is claimed—
(A)a written statement signed by the individual attending the meeting which includes—
(i)information with respect to the total days of the trip, excluding the days of transportation to and from the cruise ship port, and the number of hours of each day of the trip which such individual devoted to scheduled business activities,
(ii)a program of the scheduled business activities of the meeting, and
(iii)such other information as may be required in regulations prescribed by the Secretary; and
(B)a written statement signed by an officer of the organization or group sponsoring the meeting which includes—
(i)a schedule of the business activities of each day of the meeting,
(ii)the number of hours which the individual attending the meeting attended such scheduled business activities, and
(iii)such other information as may be required in regulations prescribed by the Secretary.
(6)Treatment of conventions in certain Caribbean countries
(A)In general
For purposes of this subsection, the term “North American area” includes, with respect to any convention, seminar, or similar meeting, any beneficiary country if (as of the time such meeting begins)—
(i)there is in effect a bilateral or multilateral agreement described in subparagraph (C) between such country and the United States providing for the exchange of information between the United States and such country, and
(ii)there is not in effect a finding by the Secretary that the tax laws of such country discriminate against conventions held in the United States.
(B)Beneficiary country
For purposes of this paragraph, the term “beneficiary country” has the meaning given to such term by section 212(a)(1)(A) of the Caribbean Basin Economic Recovery Act; except that such term shall include Bermuda.
(C)Authority to conclude exchange of information agreements
(i)In general
The Secretary is authorized to negotiate and conclude an agreement for the exchange of information with any beneficiary country. Except as provided in clause (ii), an exchange of information agreement shall provide for the exchange of such information (not limited to information concerning nationals or residents of the United States or the beneficiary country) as may be necessary or appropriate to carry out and enforce the tax laws of the United States and the beneficiary country (whether criminal or civil proceedings), including information which may otherwise be subject to nondisclosure provisions of the local law of the beneficiary country such as provisions respecting bank secrecy and bearer shares. The exchange of information agreement shall be terminable by either country on reasonable notice and shall provide that information received by either country will be disclosed only to persons or authorities (including courts and administrative bodies) involved in the administration or oversight of, or in the determination of appeals in respect of, taxes of the United States or the beneficiary country and will be used by such persons or authorities only for such purposes.
(ii)Nondisclosure of qualified confidential information sought for civil tax purposes
An exchange of information agreement need not provide for the exchange of qualified confidential information which is sought only for civil tax purposes if—
(I)the Secretary of the Treasury, after making all reasonable efforts to negotiate an agreement which includes the exchange of such information, determines that such an agreement cannot be negotiated but that the agreement which was negotiated will significantly assist in the administration and enforcement of the tax laws of the United States, and
(II)the President determines that the agreement as negotiated is in the national security interest of the United States.
(iii)Qualified confidential information defined
For purposes of this subparagraph, the term “qualified confidential information” means information which is subject to the nondisclosure provisions of any local law of the beneficiary country regarding bank secrecy or ownership of bearer shares.
(iv)Civil tax purposes
For purposes of this subparagraph, the determination of whether information is sought only for civil tax purposes shall be made by the requesting party.
(D)Coordination with other provisions
Any exchange of information agreement negotiated under subparagraph (C) shall be treated as an income tax convention for purposes of section 6103(k)(4). The Secretary may exercise his authority under subchapter A of chapter 78 to carry out any obligation of the United States under an agreement referred to in subparagraph (C).
(E)Determinations published in the Federal Register
The following shall be published in the Federal Register—
(i)any determination by the President under subparagraph (C)(ii) (including the reasons for such determination),
(ii)any determination by the Secretary under subparagraph (C)(ii) (including the reasons for such determination), and
(iii)any finding by the Secretary under subparagraph (A)(ii) (and any termination thereof).
(7)Seminars, etc. for section 212 purposes
No deduction shall be allowed under section 212 for expenses allocable to a convention, seminar, or similar meeting.
(i)Qualified nonpersonal use vehicle
For purposes of subsection (d), the term “qualified nonpersonal use vehicle” means any vehicle which, by reason of its nature, is not likely to be used more than a de minimis amount for personal purposes.
(j)Employee achievement awards
(1)General rule
No deduction shall be allowed under section 162 or section 212 for the cost of an employee achievement award except to the extent that such cost does not exceed the deduction limitations of paragraph (2).
(2)Deduction limitations
The deduction for the cost of an employee achievement award made by an employer to an employee—
(A)which is not a qualified plan award, when added to the cost to the employer for all other employee achievement awards made to such employee during the taxable year which are not qualified plan awards, shall not exceed $400, and
(B)which is a qualified plan award, when added to the cost to the employer for all other employee achievement awards made to such employee during the taxable year (including employee achievement awards which are not qualified plan awards), shall not exceed $1,600.
(3)Definitions
For purposes of this subsection—
(A)Employee achievement award
(i)In general
The term “employee achievement award” means an item of tangible personal property which is—
(I)transferred by an employer to an employee for length of service achievement or safety achievement,
(II)awarded as part of a meaningful presentation, and
(III)awarded under conditions and circumstances that do not create a significant likelihood of the payment of disguised compensation.
(ii)Tangible personal property
For purposes of clause (i), the term “tangible personal property” shall not include—
(I)cash, cash equivalents, gift cards, gift coupons, or gift certificates (other than arrangements conferring only the right to select and receive tangible personal property from a limited array of such items pre-selected or pre-approved by the employer), or
(II)vacations, meals, lodging, tickets to theater or sporting events, stocks, bonds, other securities, and other similar items.
(B)Qualified plan award
(i)In general
The term “qualified plan award” means an employee achievement award awarded as part of an established written plan or program of the taxpayer which does not discriminate in favor of highly compensated employees (within the meaning of section 414(q)) as to eligibility or benefits.
(ii)Limitation
An employee achievement award shall not be treated as a qualified plan award for any taxable year if the average cost of all employee achievement awards which are provided by the employer during the year, and which would be qualified plan awards but for this subparagraph, exceeds $400. For purposes of the preceding sentence, average cost shall be determined by including the entire cost of qualified plan awards, without taking into account employee achievement awards of nominal value.
(4)Special rules
For purposes of this subsection—
(A)Partnerships
In the case of an employee achievement award made by a partnership, the deduction limitations contained in paragraph (2) shall apply to the partnership as well as to each member thereof.
(B)Length of service awards
An item shall not be treated as having been provided for length of service achievement if the item is received during the recipient’s 1st 5 years of employment or if the recipient received a length of service achievement award (other than an award excludable under section 132(e)(1)) during that year or any of the prior 4 years.
(C)Safety achievement awards
An item provided by an employer to an employee shall not be treated as having been provided for safety achievement if—
(i)during the taxable year, employee achievement awards (other than awards excludable under section 132(e)(1)) for safety achievement have previously been awarded by the employer to more than 10 percent of the employees of the employer (excluding employees described in clause (ii)), or
(ii)such item is awarded to a manager, administrator, clerical employee, or other professional employee.
(k)Business meals
(1)In general
No deduction shall be allowed under this chapter for the expense of any food or beverages unless—
(A)such expense is not lavish or extravagant under the circumstances, and
(B)the taxpayer (or an employee of the taxpayer) is present at the furnishing of such food or beverages.
(2)Exceptions
Paragraph (1) shall not apply to—
(A)any expense described in paragraph (2), (3), (4), (7), (8), or (9) of subsection (e), and
(B)any other expense to the extent provided in regulations.
(l)Transportation and commuting benefits
No deduction shall be allowed under this chapter for any expense incurred for providing any transportation, or any payment or reimbursement, to an employee of the taxpayer in connection with travel between the employee’s residence and place of employment, except as necessary for ensuring the safety of the employee.
(m)Additional limitations on travel expenses
(1)Luxury water transportation
(A)In general
No deduction shall be allowed under this chapter for expenses incurred for transportation by water to the extent such expenses exceed twice the aggregate per diem amounts for days of such transportation. For purposes of the preceding sentence, the term “per diem amounts” means the highest amount generally allowable with respect to a day to employees of the executive branch of the Federal Government for per diem while away from home but serving in the United States.
(B)Exceptions
Subparagraph (A) shall not apply to—
(i)any expense allocable to a convention, seminar, or other meeting which is held on any cruise ship, and
(ii)any expense described in paragraph (2), (3), (4), (7), (8), or (9) of subsection (e).
(2)Travel as form of education
No deduction shall be allowed under this chapter for expenses for travel as a form of education.
(3)Travel expenses of spouse, dependent, or others
No deduction shall be allowed under this chapter (other than section 217) for travel expenses paid or incurred with respect to a spouse, dependent, or other individual accompanying the taxpayer (or an officer or employee of the taxpayer) on business travel, unless—
(A)the spouse, dependent, or other individual is an employee of the taxpayer,
(B)the travel of the spouse, dependent, or other individual is for a bona fide business purpose, and
(C)such expenses would otherwise be deductible by the spouse, dependent, or other individual.
(n)Only 50 percent of meal expenses allowed as deduction
(1)In general
The amount allowable as a deduction under this chapter for any expense for food or beverages shall not exceed 50 percent of the amount of such expense which would (but for this paragraph) be allowable as a deduction under this chapter.
(2)Exceptions
Paragraph (1) shall not apply to any expense if—
(A)such expense is described in paragraph (2), (3), (4), (7), (8), or (9) of subsection (e),
(B)in the case of an employer who pays or reimburses moving expenses of an employee, such expenses are includible in the income of the employee under section 82,
(C)such expense is for food or beverages—
(i)required by any Federal law to be provided to crew members of a commercial vessel,
(ii)provided to crew members of a commercial vessel—
(I)which is operating on the Great Lakes, the Saint Lawrence Seaway, or any inland waterway of the United States, and
(II)which is of a kind which would be required by Federal law to provide food and beverages to crew members if it were operated at sea,
(iii)provided on an oil or gas platform or drilling rig if the platform or rig is located offshore,
(iv)provided on an oil or gas platform or drilling rig, or at a support camp which is in proximity and integral to such platform or rig, if the platform or rig is located in the United States north of 54 degrees north latitude, or
(v)provided—
(I)on a fishing vessel, fish processing vessel, or fish tender vessel (as such terms are defined in section 2101 of title 46, United States Code), or
(II)at a facility for the processing of fish for commercial use or consumption which—
(aa)is located in the United States north of 50 degrees north latitude, and
(bb)is not located in a metropolitan statistical area (within the meaning of section 143(k)(2)(B)), or
(D)such expense is—
(i)for food or beverages provided by a restaurant, and
(ii)paid or incurred before January 1, 2023.
Clauses (i) and (ii) of subparagraph (C) shall not apply to vessels primarily engaged in providing luxury water transportation (determined under the principles of subsection (m)). In the case of the employee, the exception of subparagraph (A) shall not apply to expenses described in subparagraph (B).
(3)Special rule for individuals subject to Federal hours of service
In the case of any expenses for food or beverages consumed while away from home (within the meaning of section 162(a)(2)) by an individual during, or incident to, the period of duty subject to the hours of service limitations of the Department of Transportation, paragraph (1) shall be applied by substituting “80 percent” for “50 percent”.
(o)Meals provided at convenience of employer
Except in the case of an expense described in subsection (e)(8) or (n)(2)(C), no deduction shall be allowed under this chapter for—
(1)any expense for the operation of a facility described in section 132(e)(2), and any expense for food or beverages, including under section 132(e)(1), associated with such facility, or
(2)any expense for meals described in section 119(a).
(p)Regulatory authority
The Secretary shall prescribe such regulations as he may deem necessary to carry out the purposes of this section, including regulations prescribing whether subsection (a) or subsection (b) applies in cases where both such subsections would otherwise apply.
(Added Pub. L. 87–834, § 4(a)(1), Oct. 16, 1962, 76 Stat. 974; amended Pub. L. 88–272, title II, § 217(a), Feb. 26, 1964, 78 Stat. 56; Pub. L. 94–455, title VI, § 602(a), title XIX, § 1906(b)(13)(A), Oct. 4, 1976, 90 Stat. 1572, 1834; Pub. L. 95–600, title III, § 361(a), (b), title VII, § 701(g)(1)–(3), Nov. 6, 1978, 92 Stat. 2847, 2903, 2904; Pub. L. 96–222, title I, § 103(a)(10)(A), (B) Apr. 1, 1980, 94 Stat. 212; Pub. L. 96–598, § 5(a), Dec. 24, 1980, 94 Stat. 3488; Pub. L. 96–605, title I, § 108(a), Dec. 28, 1980, 94 Stat. 3524; Pub. L. 96–608, § 4(a), Dec. 28, 1980, 94 Stat. 3552; Pub. L. 97–34, title II, § 265(a), (b), Aug. 13, 1981, 95 Stat. 265; Pub. L. 97–248, title III, §§ 307(a)(1), 308(a), Sept. 3, 1982, 96 Stat. 589, 591; Pub. L. 97–424, title V, § 543(a), Jan. 6, 1983, 96 Stat. 2195; Pub. L. 98–67, title I, § 102(a), title II, § 222(a), Aug. 5, 1983, 97 Stat. 369, 395; Pub. L. 98–369, div. A, title I, § 179(b)(1), title VIII, § 801(c), July 18, 1984, 98 Stat. 718, 995; Pub. L. 99–44, §§ 1(a), 2, 6(b), May 24, 1985, 99 Stat. 77, 79; Pub. L. 99–514, title I, §§ 122(c), (d), 142(a)–(c), title XI, § 1114(b)(6), Oct. 22, 1986, 100 Stat. 2110, 2117–2120, 2451; Pub. L. 100–647, title I, §§ 1001(g)(1)–(4)(A), (5), 1018(u)(2), title VI, § 6003(a), Nov. 10, 1988, 102 Stat. 3351, 3352, 3590, 3684; Pub. L. 101–239, title VII, §§ 7816(a), 7841(d)(18), Dec. 19, 1989, 103 Stat. 2420, 2429; Pub. L. 101–508, title XI, § 11802(b), Nov. 5, 1990, 104 Stat. 1388–529; Pub. L. 103–66, title XIII, §§ 13209(a), (b), 13210(a), (b), 13272(a), Aug. 10, 1993, 107 Stat. 469, 542; Pub. L. 105–34, title IX, § 969(a), Aug. 5, 1997, 111 Stat. 896; Pub. L. 108–357, title VIII, § 907(a), Oct. 22, 2004, 118 Stat. 1654; Pub. L. 109–135, title IV, § 403(mm), Dec. 21, 2005, 119 Stat. 2632; Pub. L. 113–295, div. A, title II, § 221(a)(46), Dec. 19, 2014, 128 Stat. 4045; Pub. L. 115–97, title I, §§ 13304(a)(1)–(2)(E), (b)–(d), 13310(a), Dec. 22, 2017, 131 Stat. 2124–2126, 2132; Pub. L. 116–260, div. EE, title II, § 210(a), Dec. 27, 2020, 134 Stat. 3066; Pub. L. 119–21, title VII, §§ 70112(c), 70305(a), (b), July 4, 2025, 139 Stat. 165, 197.)</t>
  </si>
  <si>
    <t>🚨 Important: Business Meal and Entertainment Deduction Update for [Entity]
How this affects you:
Beginning in 2026, tax laws regarding meals and entertainment have tightened. While business meals with clients remain 50% deductible, most employer-provided meals (like on-site snacks or cafeteria food) are now nondeductible. Based on your current [Meal_Expense], we estimate your [Deductible_Amount] and [NonDeductible_Amount]. Note that entertainment activities—such as sporting events, golf, or club dues—remain 100% nondeductible even if they have a business purpose.
✅ Maintain detailed records for each meal, including the business purpose, relationship of attendees, date, and location to substantiate the 50% deduction
✅ Review and update your internal reimbursement policies to reflect the total loss of deductions for employer-provided convenience meals
✅ Tag all food and beverage expenses in QuickBooks by class or category to distinguish between 50% deductible travel/client meals and nondeductible entertainment
📚 Source: IRC Section 274
⚠️ Disclaimer: This template is for informational purposes only. Tax laws are subject to change and individual circumstances vary. Please consult with a qualified tax professional to confirm eligibility and compliance for your specific entity.</t>
  </si>
  <si>
    <t>§451</t>
  </si>
  <si>
    <t>(a)General rule
The amount of any item of gross income shall be included in the gross income for the taxable year in which received by the taxpayer, unless, under the method of accounting used in computing taxable income, such amount is to be properly accounted for as of a different period.
(b)Inclusion not later than for financial accounting purposes
(1)Income taken into account in financial statement
(A)In general
In the case of a taxpayer the taxable income of which is computed under an accrual method of accounting, the all events test with respect to any item of gross income (or portion thereof) shall not be treated as met any later than when such item (or portion thereof) is taken into account as revenue in—
(i)an applicable financial statement of the taxpayer, or
(ii)such other financial statement as the Secretary may specify for purposes of this subsection.
(B)Exception
This paragraph shall not apply to—
(i)a taxpayer which does not have a financial statement described in clause (i) or (ii) of subparagraph (A) for a taxable year, or
(ii)any item of gross income in connection with a mortgage servicing contract.
(C)All events test
For purposes of this section, the all events test is met with respect to any item of gross income if all the events have occurred which fix the right to receive such income and the amount of such income can be determined with reasonable accuracy.
(2)Coordination with special methods of accounting
Paragraph (1) shall not apply with respect to any item of gross income for which the taxpayer uses a special method of accounting provided under any other provision of this chapter, other than any provision of part V of subchapter P (except as provided in clause (ii) of paragraph (1)(B)).
(3)Applicable financial statement
For purposes of this subsection, the term “applicable financial statement” means—
(A)a financial statement which is certified as being prepared in accordance with generally accepted accounting principles and which is—
(i)a 10–K (or successor form), or annual statement to shareholders, required to be filed by the taxpayer with the United States Securities and Exchange Commission,
(ii)an audited financial statement of the taxpayer which is used for—
(I)credit purposes,
(II)reporting to shareholders, partners, or other proprietors, or to beneficiaries, or
(III)any other substantial nontax purpose,
 but only if there is no statement of the taxpayer described in clause (i), or
(iii)filed by the taxpayer with any other Federal agency for purposes other than Federal tax purposes, but only if there is no statement of the taxpayer described in clause (i) or (ii),
(B)a financial statement which is made on the basis of international financial reporting standards and is filed by the taxpayer with an agency of a foreign government which is equivalent to the United States Securities and Exchange Commission and which has reporting standards not less stringent than the standards required by such Commission, but only if there is no statement of the taxpayer described in subparagraph (A), or
(C)a financial statement filed by the taxpayer with any other regulatory or governmental body specified by the Secretary, but only if there is no statement of the taxpayer described in subparagraph (A) or (B).
(4)Allocation of transaction price
For purposes of this subsection, in the case of a contract which contains multiple performance obligations, the allocation of the transaction price to each performance obligation shall be equal to the amount allocated to each performance obligation for purposes of including such item in revenue in the applicable financial statement of the taxpayer.
(5)Group of entities
For purposes of paragraph (1), if the financial results of a taxpayer are reported on the applicable financial statement (as defined in paragraph (3)) for a group of entities, such statement shall be treated as the applicable financial statement of the taxpayer.
(c)Treatment of advance payments
(1)In general
A taxpayer which computes taxable income under the accrual method of accounting, and receives any advance payment during the taxable year, shall—
(A)except as provided in subparagraph (B), include such advance payment in gross income for such taxable year, or
(B)if the taxpayer elects the application of this subparagraph with respect to the category of advance payments to which such advance payment belongs, the taxpayer shall—
(i)to the extent that any portion of such advance payment is required under subsection (b) to be included in gross income in the taxable year in which such payment is received, so include such portion, and
(ii)include the remaining portion of such advance payment in gross income in the taxable year following the taxable year in which such payment is received.
(2)Election
(A)In general
Except as otherwise provided in this paragraph, the election under paragraph (1)(B) shall be made at such time, in such form and manner, and with respect to such categories of advance payments, as the Secretary may provide.
(B)Period to which election applies
An election under paragraph (1)(B) shall be effective for the taxable year with respect to which it is first made and for all subsequent taxable years, unless the taxpayer secures the consent of the Secretary to revoke such election. For purposes of this title, the computation of taxable income under an election made under paragraph (1)(B) shall be treated as a method of accounting.
(3)Taxpayers ceasing to exist
Except as otherwise provided by the Secretary, the election under paragraph (1)(B) shall not apply with respect to advance payments received by the taxpayer during a taxable year if such taxpayer ceases to exist during (or with the close of) such taxable year.
(4)Advance payment
For purposes of this subsection—
(A)In general
The term “advance payment” means any payment—
(i)the full inclusion of which in the gross income of the taxpayer for the taxable year of receipt is a permissible method of accounting under this section (determined without regard to this subsection),
(ii)any portion of which is included in revenue by the taxpayer in a financial statement described in clause (i) or (ii) of subsection (b)(1)(A) for a subsequent taxable year, and
(iii)which is for goods, services, or such other items as may be identified by the Secretary for purposes of this clause.
(B)Exclusions
Except as otherwise provided by the Secretary, such term shall not include—
(i)rent,
(ii)insurance premiums governed by subchapter L,
(iii)payments with respect to financial instruments,
(iv)payments with respect to warranty or guarantee contracts under which a third party is the primary obligor,
(v)payments subject to section 871(a), 881, 1441, or 1442,
(vi)payments in property to which section 83 applies, and
(vii)any other payment identified by the Secretary for purposes of this subparagraph.
(C)Receipt
For purposes of this subsection, an item of gross income is received by the taxpayer if it is actually or constructively received, or if it is due and payable to the taxpayer.
(D)Allocation of transaction price
For purposes of this subsection, rules similar to subsection (b)(4) shall apply.
(d)Special rule in case of death
In the case of the death of a taxpayer whose taxable income is computed under an accrual method of accounting, any amount accrued only by reason of the death of the taxpayer shall not be included in computing taxable income for the period in which falls the date of the taxpayer’s death.
(e)Special rule for employee tips
For purposes of subsection (a), tips included in a written statement furnished an employer by an employee pursuant to section 6053(a) shall be deemed to be received at the time the written statement including such tips is furnished to the employer.
(f)Special rule for crop insurance proceeds or disaster payments
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For purposes of the preceding sentence, payments received under the Agricultural Act of 1949, as amended, or title II of the Disaster Assistance Act of 1988, as a result of (1) destruction or damage to crops caused by drought, flood, or any other natural disaster, or (2) the inability to plant crops because of such a natural disaster shall be treated as insurance proceeds received as a result of destruction or damage to crops. An election under this subsection for any taxable year shall be made at such time and in such manner as the Secretary prescribes.
(g)Special rule for proceeds from livestock sold on account of drought, flood, or other weather-related conditions
(1)In general
In the case of income derived from the sale or exchange of livestock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flood, or other weather-related conditions, and that such conditions had resulted in the area being designated as eligible for assistance by the Federal Government.
(2)Limitation
Paragraph (1) shall apply only to a taxpayer whose principal trade or business is farming (within the meaning of section 6420(c)(3)).
(3)Special election rules
If section 1033(e)(2) applies to a sale or exchange of livestock described in paragraph (1), the election under paragraph (1) shall be deemed valid if made during the replacement period described in such section.
(h)Special rule for utility services
(1)In general
In the case of a taxpayer the taxable income of which is computed under an accrual method of accounting, any income attributable to the sale or furnishing of utility services to customers shall be included in gross income not later than the taxable year in which such services are provided to such customers.
(2)Definition and special rule
For purposes of this subsection—
(A)Utility services
The term “utility services” includes—
(i)the providing of electrical energy, water, or sewage disposal,
(ii)the furnishing of gas or steam through a local distribution system,
(iii)telephone or other communication services, and
(iv)the transporting of gas or steam by pipeline.
(B)Year in which services provided
The taxable year in which services are treated as provided to customers shall not, in any manner, be determined by reference to—
(i)the period in which the customers’ meters are read, or
(ii)the period in which the taxpayer bills (or may bill) the customers for such service.
(i)Treatment of interest on frozen deposits in certain financial institutions
(1)In general
In the case of interest credited during any calendar year on a frozen deposit in a qualified financial institution, the amount of such interest includible in the gross income of a qualified individual shall not exceed the sum of—
(A)the net amount withdrawn by such individual from such deposit during such calendar year, and
(B)the amount of such deposit which is withdrawable as of the close of the taxable year (determined without regard to any penalty for premature withdrawals of a time deposit).
(2)Interest tested each year
Any interest not included in gross income by reason of paragraph (1) shall be treated as credited in the next calendar year.
(3)Deferral of interest deduction
No deduction shall be allowed to any qualified financial institution for interest not includible in gross income under paragraph (1) until such interest is includible in gross income.
(4)Frozen deposit
For purposes of this subsection, the term “frozen deposit” means any deposit if, as of the close of the calendar year, any portion of such deposit may not be withdrawn because of—
(A)the bankruptcy or insolvency of the qualified financial institution (or threat thereof), or
(B)any requirement imposed by the State in which such institution is located by reason of the bankruptcy or insolvency (or threat thereof) of 1 or more financial institutions in the State.
(5)Other definitions
For purposes of this subsection, the terms “qualified individual”, “qualified financial institution”, and “deposit” have the same respective meanings as when used in section 165(l).
(j)Special rule for cash options for receipt of qualified prizes
(1)In general
For purposes of this title, in the case of an individual on the cash receipts and disbursements method of accounting, a qualified prize option shall be disregarded in determining the taxable year for which any portion of the qualified prize is properly includible in gross income of the taxpayer.
(2)Qualified prize option; qualified prize
For purposes of this subsection—
(A)In general
The term “qualified prize option” means an option which—
(i)entitles an individual to receive a single cash payment in lieu of receiving a qualified prize (or remaining portion thereof), and
(ii)is exercisable not later than 60 days after such individual becomes entitled to the qualified prize.
(B)Qualified prize
The term “qualified prize” means any prize or award which—
(i)is awarded as a part of a contest, lottery, jackpot, game, or other similar arrangement,
(ii)does not relate to any past services performed by the recipient and does not require the recipient to perform any substantial future service, and
(iii)is payable over a period of at least 10 years.
(3)Partnership, etc.
The Secretary shall provide for the application of this subsection in the case of a partnership or other pass-through entity consisting entirely of individuals described in paragraph (1).
(k)Special rule for sales or dispositions to implement Federal Energy Regulatory Commission or State electric restructuring policy
(1)In general
In the case of any qualifying electric transmission transaction for which the taxpayer elects the application of this section, qualified gain from such transaction shall be recognized—
(A)in the taxable year which includes the date of such transaction to the extent the amount realized from such transaction exceeds—
(i)the cost of exempt utility property which is purchased by the taxpayer during the 4-year period beginning on such date, reduced (but not below zero) by
(ii)any portion of such cost previously taken into account under this subsection, and
(B)ratably over the 8-taxable year period beginning with the taxable year which includes the date of such transaction, in the case of any such gain not recognized under subparagraph (A).
(2)Qualified gain
For purposes of this subsection, the term “qualified gain” means, with respect to any qualifying electric transmission transaction in any taxable year—
(A)any ordinary income derived from such transaction which would be required to be recognized under section 1245 or 1250 for such taxable year (determined without regard to this subsection), and
(B)any income derived from such transaction in excess of the amount described in subparagraph (A) which is required to be included in gross income for such taxable year (determined without regard to this subsection).
(3)Qualifying electric transmission transaction
For purposes of this subsection, the term “qualifying electric transmission transaction” means any sale or other disposition before January 1, 2008 (before January 1, 2021, in the case of a qualified electric utility), of—
(A)property used in the trade or business of providing electric transmission services, or
(B)any stock or partnership interest in a corporation or partnership, as the case may be, whose principal trade or business consists of providing electric transmission services,
but only if such sale or disposition is to an independent transmission company.
(4)Independent transmission company
For purposes of this subsection, the term “independent transmission company” means—
(A)an independent transmission provider approved by the Federal Energy Regulatory Commission,
(B)a person—
(i)who the Federal Energy Regulatory Commission determines in its authorization of the transaction under section 203 of the Federal Power Act (16 U.S.C. 824b) or by declaratory order is not a market participant within the meaning of such Commission’s rules applicable to independent transmission providers, and
(ii)whose transmission facilities to which the election under this subsection applies are under the operational control of a Federal Energy Regulatory Commission-approved independent transmission provider before the close of the period specified in such authorization, but not later than the date which is 4 years after the close of the taxable year in which the transaction occurs, or
(C)in the case of facilities subject to the jurisdiction of the Public Utility Commission of Texas—
(i)a person which is approved by that Commission as consistent with Texas State law regarding an independent transmission provider, or
(ii)a political subdivision or affiliate thereof whose transmission facilities are under the operational control of a person described in clause (i).
(5)Exempt utility property
For purposes of this subsection:
(A)In general
The term “exempt utility property” means property used in the trade or business of—
(i)generating, transmitting, distributing, or selling electricity, or
(ii)producing, transmitting, distributing, or selling natural gas.
(B)Nonrecognition of gain by reason of acquisition of stock
Acquisition of control of a corporation shall be taken into account under this subsection with respect to a qualifying electric transmission transaction only if the principal trade or business of such corporation is a trade or business referred to in subparagraph (A).
(C)Exception for property located outside the United States
The term “exempt utility property” shall not include any property which is located outside the United States.
(6)Qualified electric utility
For purposes of this subsection, the term “qualified electric utility” means a person that, as of the date of the qualifying electric transmission transaction, is vertically integrated, in that it is both—
(A)a transmitting utility (as defined in section 3(23) of the Federal Power Act (16 U.S.C. 796(23))) with respect to the transmission facilities to which the election under this subsection applies, and
(B)an electric utility (as defined in section 3(22) of the Federal Power Act (16 U.S.C. 796(22))).
(7)Special rule for consolidated groups
In the case of a corporation which is a member of an affiliated group filing a consolidated return, any exempt utility property purchased by another member of such group shall be treated as purchased by such corporation for purposes of applying paragraph (1)(A).
(8)Time for assessment of deficiencies
If the taxpayer has made the election under paragraph (1) and any gain is recognized by such taxpayer as provided in paragraph (1)(B), then—
(A)the statutory period for the assessment of any deficiency, for any taxable year in which any part of the gain on the transaction is realized, attributable to such gain shall not expire prior to the expiration of 3 years from the date the Secretary is notified by the taxpayer (in such manner as the Secretary may by regulations prescribe) of the purchase of exempt utility property or of an intention not to purchase such property, and
(B)such deficiency may be assessed before the expiration of such 3-year period notwithstanding any law or rule of law which would otherwise prevent such assessment.
(9)Purchase
For purposes of this subsection, the taxpayer shall be considered to have purchased any property if the unadjusted basis of such property is its cost within the meaning of section 1012.
(10)Election
An election under paragraph (1) shall be made at such time and in such manner as the Secretary may require and, once made, shall be irrevocable.
(11)Nonapplication of installment sales treatment
Section 453 shall not apply to any qualifying electric transmission transaction with respect to which an election to apply this subsection is made.
(Aug. 16, 1954, ch. 736, 68A Stat. 152; Pub. L. 89–97, title III, § 313(b), July 30, 1965, 79 Stat. 382; Pub. L. 91–172, title II, § 215(a), Dec. 30, 1969, 83 Stat. 573; Pub. L. 94–455, title XIX, § 1906(b)(13)(A), title XXI, §§ 2102(a), (b), 2141(a), Oct. 4, 1976, 90 Stat. 1834, 1900, 1933; Pub. L. 99–514, title VIII, § 821(a), title IX, § 905(b), Oct. 22, 1986, 100 Stat. 2372, 2386; Pub. L. 100–647, title I, § 1009(d)(3), title VI, §§ 6030(a), 6033(a), Nov. 10, 1988, 102 Stat. 3450, 3694, 3695; Pub. L. 105–34, title IX, § 913(a), Aug. 5, 1997, 111 Stat. 878; Pub. L. 105–277, div. J, title V, § 5301(a), Oct. 21, 1998, 112 Stat. 2681–918; Pub. L. 108–357, title III, § 311(c), title VIII, § 909(a), Oct. 22, 2004, 118 Stat. 1467, 1657; Pub. L. 109–58, title XIII, § 1305(a), (b), Aug. 8, 2005, 119 Stat. 997; Pub. L. 110–343, div. B, title I, § 109(a)–(c), Oct. 3, 2008, 122 Stat. 3821; Pub. L. 111–312, title VII, § 705(a), Dec. 17, 2010, 124 Stat. 3311; Pub. L. 112–240, title IV, § 411(a), Jan. 2, 2013, 126 Stat. 2343; Pub. L. 113–295, div. A, title I, § 159(a), Dec. 19, 2014, 128 Stat. 4022; Pub. L. 114–113, div. Q, title I, § 191(a), Dec. 18, 2015, 129 Stat. 3075; Pub. L. 115–97, title I, § 13221(a), (b), Dec. 22, 2017, 131 Stat. 2113, 2115; Pub. L. 115–123, div. D, title I, § 40414(a), Feb. 9, 2018, 132 Stat. 152; Pub. L. 116–94, div. Q, title I, § 132(a), Dec. 20, 2019, 133 Stat. 3233.)</t>
  </si>
  <si>
    <t>Accrual-method businesses must recognize advance payments upon receipt or elect to defer a portion to the following year.</t>
  </si>
  <si>
    <t>Industries: [Software, Construction, Professional Services] | Entities: [C Corporations, S Corporations, Partnerships]</t>
  </si>
  <si>
    <t>Deferred Revenue Account Balance, Unearned Income Account, Customer Deposits, Prepaid Subscriptions, Billing Schedules</t>
  </si>
  <si>
    <t>🚨 Important: Section 451 Advance Payment Update for [Entity]
How this affects you:
Under IRC §451, your [Advance_Payment] in advance payments must be carefully tracked. By electing the deferral method, you can recognize [Recognized_This_Year] this year and defer [Deferred_Amount] to the following year. This creates a [Tax_Timing] book-tax timing difference involving [Cash_Flow_Impact] that affects your current tax liability and [Working_Capital] in working capital.
✅ Perform a year-end revenue cutoff review to identify all advance payments
✅ Ensure deferred revenue tracking is properly configured in QuickBooks
✅ Consult your CPA to formally elect the one-year deferral method
📚 Source: IRC Section 451
⚠️ Disclaimer: This template is for informational purposes only. Tax laws are subject to change and individual circumstances vary. Please consult with a qualified tax professional to confirm eligibility and compliance for your specific entity.</t>
  </si>
  <si>
    <t>Section 451 requires you to pay taxes on unearned cash upfront unless deferred, which can temporarily squeeze your working capital.</t>
  </si>
  <si>
    <t>§280A</t>
  </si>
  <si>
    <t>Section 280A limits deductions for expenses related to the business use of a home. To deduct expenses, a portion of the home must be used exclusively and regularly as the principal place of business. Taxpayers can use the regular method (actual expenses based on percentage of home used) or the simplified method ($5 per square foot, up to 300 square feet).</t>
  </si>
  <si>
    <t>🚨 Important: Home Office Deduction Update for [Entity]
How this affects you:
Maximize your savings by choosing the best deduction method for your \[Square\_Footage\] sq. ft. home office. Based on your \[Home\_Office\_Expense\], you can compare the Simplified Method ($5/sq. ft. up to $1,500) against the Regular Method (actual expenses like rent and utilities). Using the \[Method\], your estimated [Deductible_Amount] can significantly lower your taxable income.
✅ Verify the home office space is used exclusively and regularly for your business
✅ Maintain accurate records of your total home and office square footage
✅ Review both calculation methods annually to ensure you select the highest deduction
📚 Source: IRC Section 280A
⚠️ Disclaimer: This template is for informational purposes only. Tax laws are subject to change and individual circumstances vary. Please consult with a qualified tax professional to confirm eligibility and compliance for your specific entity.</t>
  </si>
  <si>
    <t>§132</t>
  </si>
  <si>
    <t>Section 132 excludes certain fringe benefits from an employee's gross income, including no-additional-cost services, qualified employee discounts, working condition fringes, de minimis fringes, and qualified transportation fringes. These benefits are not subject to federal income tax withholding or FICA taxes.</t>
  </si>
  <si>
    <t>🚨 Important: Fringe Benefit Tax Exclusion Update for [Entity]
How this affects you:
Based on your provided \[Benefit\_Type\] valued at \[Benefit\_Amount\], these benefits may be excluded from your employees' gross income. Under IRC Section 132, qualified fringe benefits—such as de minimis gifts, employee discounts, and transportation fringes—are not subject to federal income tax withholding or FICA taxes, reducing the overall tax burden for both the employer and employee.
✅ Review payroll records to identify all \[Benefit\_Type\] expenses provided to employees
✅ Verify that excluded benefits are correctly omitted from Form W-2 taxable wages
✅ Ensure all fringe benefit transactions are accurately tagged in QuickBooks for audit readiness
📚 Source: IRC Section 132
⚠️ Disclaimer: This template is for informational purposes only. Tax laws are subject to change and individual circumstances vary. Please consult with a qualified tax professional to confirm eligibility and compliance for your specific entity.</t>
  </si>
  <si>
    <t>§162(m)</t>
  </si>
  <si>
    <t>(m)Certain excessive employee remuneration
(1)In general
In the case of any publicly held corporation, no deduction shall be allowed under this chapter for applicable employee remuneration with respect to any covered employee to the extent that the amount of such remuneration for the taxable year with respect to such employee exceeds $1,000,000.
(2)Publicly held corporation
For purposes of this subsection, the term “publicly held corporation” means any corporation which is an issuer (as defined in section 3 of the Securities Exchange Act of 1934 (15 U.S.C. 78c))—
(A)the securities of which are required to be registered under section 12 of such Act (15 U.S.C. 78l), or
(B)that is required to file reports under section 15(d) of such Act (15 U.S.C. 78o(d)).
(3)Covered employee
For purposes of this subsection, the term “covered employee” means any employee of the taxpayer if—
(A)such employee is the principal executive officer or principal financial officer of the taxpayer at any time during the taxable year, or was an individual acting in such a capacity,
(B)the total compensation of such employee for the taxable year is required to be reported to shareholders under the Securities Exchange Act of 1934 by reason of such employee being among the 3 highest compensated officers for the taxable year (other than any individual described in subparagraph (A)),
(C)in the case of taxable years beginning after December 31, 2026, such employee is among the 5 highest compensated employees for the taxable year other than any individual described in subparagraph (A) or (B), or
(D)was a covered employee described in subparagraph (A) or (B) of the taxpayer (or any predecessor) for any preceding taxable year beginning after December 31, 2016.
Such term shall include any employee who would be described in subparagraph (B) if the reporting described in such subparagraph were required as so described.
(4)Applicable employee remuneration
For purposes of this subsection—
(A)In general
Except as otherwise provided in this paragraph, the term “applicable employee remuneration” means, with respect to any covered employee for any taxable year, the aggregate amount allowable as a deduction under this chapter for such taxable year (determined without regard to this subsection) for remuneration for services performed by such employee (whether or not during the taxable year).
(B)Exception for existing binding contracts
The term “applicable employee remuneration” shall not include any remuneration payable under a written binding contract which was in effect on February 17, 1993, and which was not modified thereafter in any material respect before such remuneration is paid.
(C)Remuneration
For purposes of this paragraph, the term “remuneration” includes any remuneration (including benefits) in any medium other than cash, but shall not include—
(i)any payment referred to in so much of section 3121(a)(5) as precedes subparagraph (E) thereof, and
(ii)any benefit provided to or on behalf of an employee if at the time such benefit is provided it is reasonable to believe that the employee will be able to exclude such benefit from gross income under this chapter.
For purposes of clause (i), section 3121(a)(5) shall be applied without regard to section 3121(v)(1).
(D)Coordination with disallowed golden parachute payments
The dollar limitation contained in paragraph (1) shall be reduced (but not below zero) by the amount (if any) which would have been included in the applicable employee remuneration of the covered employee for the taxable year but for being disallowed under section 280G.
(E)Coordination with excise tax on specified stock compensation
The dollar limitation contained in paragraph (1) with respect to any covered employee shall be reduced (but not below zero) by the amount of any payment (with respect to such employee) of the tax imposed by section 4985 directly or indirectly by the expatriated corporation (as defined in such section) or by any member of the expanded affiliated group (as defined in such section) which includes such corporation.
(F)Special rule for remuneration paid to beneficiaries, etc.
Remuneration shall not fail to be applicable employee remuneration merely because it is includible in the income of, or paid to, a person other than the covered employee, including after the death of the covered employee.
(5)Special rule for application to employers participating in the Troubled Assets Relief Program
(A)In general
In the case of an applicable employer, no deduction shall be allowed under this chapter—
(i)in the case of executive remuneration for any applicable taxable year which is attributable to services performed by a covered executive during such applicable taxable year, to the extent that the amount of such remuneration exceeds $500,000, or
(ii)in the case of deferred deduction executive remuneration for any taxable year for services performed during any applicable taxable year by a covered executive, to the extent that the amount of such remuneration exceeds $500,000 reduced (but not below zero) by the sum of—
(I)the executive remuneration for such applicable taxable year, plus
(II)the portion of the deferred deduction executive remuneration for such services which was taken into account under this clause in a preceding taxable year.
(B)Applicable employer
For purposes of this paragraph—
(i)In general
Except as provided in clause (ii), the term “applicable employer” means any employer from whom 1 or more troubled assets are acquired under a program established by the Secretary under section 101(a) of the Emergency Economic Stabilization Act of 2008 if the aggregate amount of the assets so acquired for all taxable years exceeds $300,000,000.
(ii)Disregard of certain assets sold through direct purchase
If the only sales of troubled assets by an employer under the program described in clause (i) are through 1 or more direct purchases (within the meaning of section 113(c) of the Emergency Economic Stabilization Act of 2008), such assets shall not be taken into account under clause (i) in determining whether the employer is an applicable employer for purposes of this paragraph.
(iii)Aggregation rules
Two or more persons who are treated as a single employer under subsection (b) or (c) of section 414 shall be treated as a single employer, except that in applying section 1563(a) for purposes of either such subsection, paragraphs (2) and (3) thereof shall be disregarded.
(C)Applicable taxable year
For purposes of this paragraph, the term “applicable taxable year” means, with respect to any employer—
(i)the first taxable year of the employer—
(I)which includes any portion of the period during which the authorities under section 101(a) of the Emergency Economic Stabilization Act of 2008 are in effect (determined under section 120 thereof), and
(II)in which the aggregate amount of troubled assets acquired from the employer during the taxable year pursuant to such authorities (other than assets to which subparagraph (B)(ii) applies), when added to the aggregate amount so acquired for all preceding taxable years, exceeds $300,000,000, and
(ii)any subsequent taxable year which includes any portion of such period.
(D)Covered executive
For purposes of this paragraph—
(i)In general
The term “covered executive” means, with respect to any applicable taxable year, any employee—
(I)who, at any time during the portion of the taxable year during which the authorities under section 101(a) of the Emergency Economic Stabilization Act of 2008 are in effect (determined under section 120 thereof), is the chief executive officer of the applicable employer or the chief financial officer of the applicable employer, or an individual acting in either such capacity, or
(II)who is described in clause (ii).
(ii)Highest compensated employees
An employee is described in this clause if the employee is 1 of the 3 highest compensated officers of the applicable employer for the taxable year (other than an individual described in clause (i)(I)), determined—
(I)on the basis of the shareholder disclosure rules for compensation under the Securities Exchange Act of 1934 (without regard to whether those rules apply to the employer), and
(II)by only taking into account employees employed during the portion of the taxable year described in clause (i)(I).
(iii)Employee remains covered executive
If an employee is a covered executive with respect to an applicable employer for any applicable taxable year, such employee shall be treated as a covered executive with respect to such employer for all subsequent applicable taxable years and for all subsequent taxable years in which deferred deduction executive remuneration with respect to services performed in all such applicable taxable years would (but for this paragraph) be deductible.
(E)Executive remuneration
For purposes of this paragraph, the term “executive remuneration” means the applicable employee remuneration of the covered executive, as determined under paragraph (4) without regard to subparagraph (B) thereof. Such term shall not include any deferred deduction executive remuneration with respect to services performed in a prior applicable taxable year.
(F)Deferred deduction executive remuneration
For purposes of this paragraph, the term “deferred deduction executive remuneration” means remuneration which would be executive remuneration for services performed in an applicable taxable year but for the fact that the deduction under this chapter (determined without regard to this paragraph) for such remuneration is allowable in a subsequent taxable year.
(G)Coordination
Rules similar to the rules of subparagraphs (D) and (E) of paragraph (4) shall apply for purposes of this paragraph.
(H)Regulatory authority
The Secretary may prescribe such guidance, rules, or regulations as are necessary to carry out the purposes of this paragraph and the Emergency Economic Stabilization Act of 2008, including the extent to which this paragraph applies in the case of any acquisition, merger, or reorganization of an applicable employer.
(6)Special rule for application to certain health insurance providers
(A)In general
No deduction shall be allowed under this chapter—
(i)in the case of applicable individual remuneration which is for any disqualified taxable year beginning after December 31, 2012, and which is attributable to services performed by an applicable individual during such taxable year, to the extent that the amount of such remuneration exceeds $500,000, or
(ii)in the case of deferred deduction remuneration for any taxable year beginning after December 31, 2012, which is attributable to services performed by an applicable individual during any disqualified taxable year beginning after December 31, 2009, to the extent that the amount of such remuneration exceeds $500,000 reduced (but not below zero) by the sum of—
(I)the applicable individual remuneration for such disqualified taxable year, plus
(II)the portion of the deferred deduction remuneration for such services which was taken into account under this clause in a preceding taxable year (or which would have been taken into account under this clause in a preceding taxable year if this clause were applied by substituting “December 31, 2009” for “December 31, 2012” in the matter preceding subclause (I)).
(B)Disqualified taxable year
For purposes of this paragraph, the term “disqualified taxable year” means, with respect to any employer, any taxable year for which such employer is a covered health insurance provider.
(C)Covered health insurance provider
For purposes of this paragraph—
(i)In general
The term “covered health insurance provider” means—
(I)with respect to taxable years beginning after December 31, 2009, and before January 1, 2013, any employer which is a health insurance issuer (as defined in section 9832(b)(2)) and which receives premiums from providing health insurance coverage (as defined in section 9832(b)(1)), and
(II)with respect to taxable years beginning after December 31, 2012, any employer which is a health insurance issuer (as defined in section 9832(b)(2)) and with respect to which not less than 25 percent of the gross premiums received from providing health insurance coverage (as defined in section 9832(b)(1)) is from minimum essential coverage (as defined in section 5000A(f)).
(ii)Aggregation rules
Two or more persons who are treated as a single employer under subsection (b), (c), (m), or (o) of section 414 shall be treated as a single employer, except that in applying section 1563(a) for purposes of any such subsection, paragraphs (2) and (3) thereof shall be disregarded.
(D)Applicable individual remuneration
For purposes of this paragraph, the term “applicable individual remuneration” means, with respect to any applicable individual for any disqualified taxable year, the aggregate amount allowable as a deduction under this chapter for such taxable year (determined without regard to this subsection) for remuneration (as defined in paragraph (4) without regard to subparagraph (B) thereof) for services performed by such individual (whether or not during the taxable year). Such term shall not include any deferred deduction remuneration with respect to services performed during the disqualified taxable year.
(E)Deferred deduction remuneration
For purposes of this paragraph, the term “deferred deduction remuneration” means remuneration which would be applicable individual remuneration for services performed in a disqualified taxable year but for the fact that the deduction under this chapter (determined without regard to this paragraph) for such remuneration is allowable in a subsequent taxable year.
(F)Applicable individual
For purposes of this paragraph, the term “applicable individual” means, with respect to any covered health insurance provider for any disqualified taxable year, any individual—
(i)who is an officer, director, or employee in such taxable year, or
(ii)who provides services for or on behalf of such covered health insurance provider during such taxable year.
(G)Coordination
Rules similar to the rules of subparagraphs (D) and (E) of paragraph (4) shall apply for purposes of this paragraph.
(H)Regulatory authority
The Secretary may prescribe such guidance, rules, or regulations as are necessary to carry out the purposes of this paragraph.
(7)Remuneration from controlled group members
(A)In general
In the case of any publicly held corporation which is a member of a controlled group—
(i)paragraph (1) shall be applied by substituting “specified covered employee” for “covered employee”, and
(ii)if any person which is a member of such controlled group (other than such publicly held corporation) provides applicable employee remuneration to an individual who is a specified covered employee of such controlled group and the aggregate amount described in subparagraph (B)(ii) with respect to such specified covered employee exceeds $1,000,000—
(I)paragraph (1) shall apply to such person with respect to such remuneration, and
(II)paragraph (1) shall apply to such publicly held corporation and to each such related person by substituting “the allocable limitation amount” for “$1,000,000”.
(B)Allocable limitation amount
For purposes of this paragraph, the term “allocable limitation amount” means, with respect to any member of the controlled group referred to in subparagraph (A) with respect to any specified covered employee of such controlled group, the amount which bears the same ratio to $1,000,000 as—
(i)the amount of applicable employee remuneration provided by such member with respect to such specified covered employee, bears to
(ii)the aggregate amount of applicable employee remuneration provided by all such members with respect to such specified covered employee.
(C)Specified covered employee
For purposes of this paragraph, the term “specified covered employee” means, with respect to any controlled group—
(i)any employee described in subparagraph (A), (B), or (D) of paragraph (3), with respect to the publicly held corporation which is a member of such controlled group, and
(ii)any employee who would be described in subparagraph (C) of paragraph (3) if such subparagraph were applied by taking into account the employees of all members of the controlled group.
(D)Controlled group
For purposes of this paragraph, the term “controlled group” means any group treated as a single employer under subsection (b), (c), (m), or (o) of section 414.</t>
  </si>
  <si>
    <t>🚨 Important: Executive Compensation Deduction Update for [Entity]
How this affects you:
Under IRC Section 162(m), your annual federal tax deduction for compensation paid to \[Executive\_Name\] is capped at $1,000,000. Based on \[Total\_Comp\] in total remuneration, the [NonDeductible_Amount] exceeding this limit is non-deductible, resulting in a \[Tax\_Impact\] to your entity's effective tax rate. Note that since the Tax Cuts and Jobs Act, the previous exception for performance-based compensation has been repealed; all forms of pay, including performance-contingent bonuses and equity, now count toward the $1M threshold.
✅ Identify and track all 'covered employees,' including the CEO, CFO, and top three officers, under the 'once covered, always covered' rule
✅ Maintain detailed documentation of performance goals and payment terms to support financial statement reporting of permanent book-tax differences
✅ Coordinate with a CPA or tax advisor to review controlled group aggregation rules and potential 2027 expansions to the top five highest-paid employees
📚 Source: IRC Section 162(m)
⚠️ Disclaimer: This template is for informational purposes only. Tax laws are subject to change and individual circumstances vary. Please consult with a qualified tax professional to confirm eligibility and compliance for your specific entity.</t>
  </si>
  <si>
    <t>§409A</t>
  </si>
  <si>
    <t>(a)Rules relating to constructive receipt
(1)Plan failures
(A)Gross income inclusion
(i)In general
If at any time during a taxable year a nonqualified deferred compensation plan—
(I)fails to meet the requirements of paragraphs (2), (3), and (4), or
(II)is not operated in accordance with such requirements,
 all compensation deferred under the plan for the taxable year and all preceding taxable years shall be includible in gross income for the taxable year to the extent not subject to a substantial risk of forfeiture and not previously included in gross income.
(ii)Application only to affected participants
Clause (i) shall only apply with respect to all compensation deferred under the plan for participants with respect to whom the failure relates.
(B)Interest and additional tax payable with respect to previously deferred compensation
(i)In general
If compensation is required to be included in gross income under subparagraph (A) for a taxable year, the tax imposed by this chapter for the taxable year shall be increased by the sum of—
(I)the amount of interest determined under clause (ii), and
(II)an amount equal to 20 percent of the compensation which is required to be included in gross income.
(ii)Interest
For purposes of clause (i), the interest determined under this clause for any taxable year is the amount of interest at the underpayment rate plus 1 percentage point on the underpayments that would have occurred had the deferred compensation been includible in gross income for the taxable year in which first deferred or, if later, the first taxable year in which such deferred compensation is not subject to a substantial risk of forfeiture.
(2)Distributions
(A)In general
The requirements of this paragraph are met if the plan provides that compensation deferred under the plan may not be distributed earlier than—
(i)separation from service as determined by the Secretary (except as provided in subparagraph (B)(i)),
(ii)the date the participant becomes disabled (within the meaning of subparagraph (C)),
(iii)death,
(iv)a specified time (or pursuant to a fixed schedule) specified under the plan at the date of the deferral of such compensation,
(v)to the extent provided by the Secretary, a change in the ownership or effective control of the corporation, or in the ownership of a substantial portion of the assets of the corporation, or
(vi)the occurrence of an unforeseeable emergency.
(B)Special rules
(i)Specified employees
In the case of any specified employee, the requirement of subparagraph (A)(i) is met only if distributions may not be made before the date which is 6 months after the date of separation from service (or, if earlier, the date of death of the employee). For purposes of the preceding sentence, a specified employee is a key employee (as defined in section 416(i) without regard to paragraph (5) thereof) of a corporation any stock in which is publicly traded on an established securities market or otherwise.
(ii)Unforeseeable emergency
For purposes of subparagraph (A)(vi)—
(I)In general
The term “unforeseeable emergency” means a severe financial hardship to the participant resulting from an illness or accident of the participant, the participant’s spouse, or a dependent (as defined in section 152(a)) of the participant, loss of the participant’s property due to casualty, or other similar extraordinary and unforeseeable circumstances arising as a result of events beyond the control of the participant.
(II)Limitation on distributions
The requirement of subparagraph (A)(vi) is met only if, as determined under regulations of the Secretary, the amounts distributed with respect to an emergency do not exceed the amounts necessary to satisfy such emergency plus amounts necessary to pay taxes reasonably anticipated as a result of the distribution, after taking into account the extent to which such hardship is or may be relieved through reimbursement or compensation by insurance or otherwise or by liquidation of the participant’s assets (to the extent the liquidation of such assets would not itself cause severe financial hardship).
(C)Disabled
For purposes of subparagraph (A)(ii), a participant shall be considered disabled if the participant—
(i)is unable to engage in any substantial gainful activity by reason of any medically determinable physical or mental impairment which can be expected to result in death or can be expected to last for a continuous period of not less than 12 months, or
(ii)is, by reason of any medically determinable physical or mental impairment which can be expected to result in death or can be expected to last for a continuous period of not less than 12 months, receiving income replacement benefits for a period of not less than 3 months under an accident and health plan covering employees of the participant’s employer.
(3)Acceleration of benefits
The requirements of this paragraph are met if the plan does not permit the acceleration of the time or schedule of any payment under the plan, except as provided in regulations by the Secretary.
(4)Elections
(A)In general
The requirements of this paragraph are met if the requirements of subparagraphs (B) and (C) are met.
(B)Initial deferral decision
(i)In general
The requirements of this subparagraph are met if the plan provides that compensation for services performed during a taxable year may be deferred at the participant’s election only if the election to defer such compensation is made not later than the close of the preceding taxable year or at such other time as provided in regulations.
(ii)First year of eligibility
In the case of the first year in which a participant becomes eligible to participate in the plan, such election may be made with respect to services to be performed subsequent to the election within 30 days after the date the participant becomes eligible to participate in such plan.
(iii)Performance-based compensation
In the case of any performance-based compensation based on services performed over a period of at least 12 months, such election may be made no later than 6 months before the end of the period.
(C)Changes in time and form of distribution
The requirements of this subparagraph are met if, in the case of a plan which permits under a subsequent election a delay in a payment or a change in the form of payment—
(i)the plan requires that such election may not take effect until at least 12 months after the date on which the election is made,
(ii)in the case of an election related to a payment not described in clause (ii), (iii), or (vi) of paragraph (2)(A), the plan requires that the payment with respect to which such election is made be deferred for a period of not less than 5 years from the date such payment would otherwise have been made, and
(iii)the plan requires that any election related to a payment described in paragraph (2)(A)(iv) may not be made less than 12 months prior to the date of the first scheduled payment under such paragraph.
(b)Rules relating to funding
(1)Offshore property in a trust
In the case of assets set aside (directly or indirectly) in a trust (or other arrangement determined by the Secretary) for purposes of paying deferred compensation under a nonqualified deferred compensation plan, for purposes of section 83 such assets shall be treated as property transferred in connection with the performance of services whether or not such assets are available to satisfy claims of general creditors—
(A)at the time set aside if such assets (or such trust or other arrangement) are located outside of the United States, or
(B)at the time transferred if such assets (or such trust or other arrangement) are subsequently transferred outside of the United States.
This paragraph shall not apply to assets located in a foreign jurisdiction if substantially all of the services to which the nonqualified deferred compensation relates are performed in such jurisdiction.
(2)Employer’s financial health
In the case of compensation deferred under a nonqualified deferred compensation plan, there is a transfer of property within the meaning of section 83 with respect to such compensation as of the earlier of—
(A)the date on which the plan first provides that assets will become restricted to the provision of benefits under the plan in connection with a change in the employer’s financial health, or
(B)the date on which assets are so restricted,
whether or not such assets are available to satisfy claims of general creditors.
(3)Treatment of employer’s defined benefit plan during restricted period
(A)In general
If—
(i)during any restricted period with respect to a single-employer defined benefit plan, assets are set aside or reserved (directly or indirectly) in a trust (or other arrangement as determined by the Secretary) or transferred to such a trust or other arrangement for purposes of paying deferred compensation of an applicable covered employee under a nonqualified deferred compensation plan of the plan sponsor or member of a controlled group which includes the plan sponsor, or
(ii)a nonqualified deferred compensation plan of the plan sponsor or member of a controlled group which includes the plan sponsor provides that assets will become restricted to the provision of benefits under the plan to an applicable covered employee in connection with such restricted period (or other similar financial measure determined by the Secretary) with respect to the defined benefit plan, or assets are so restricted,
such assets shall, for purposes of section 83, be treated as property transferred in connection with the performance of services whether or not such assets are available to satisfy claims of general creditors. Clause (i) shall not apply with respect to any assets which are so set aside before the restricted period with respect to the defined benefit plan.
(B)Restricted period
For purposes of this section, the term “restricted period” means, with respect to any plan described in subparagraph (A)—
(i)any period during which the plan is in at-risk status (as defined in section 430(i)),
(ii)any period the plan sponsor is a debtor in a case under title 11, United States Code, or similar Federal or State law, and
(iii)the 12-month period beginning on the date which is 6 months before the termination date of the plan if, as of the termination date, the plan is not sufficient for benefit liabilities (within the meaning of section 4041 of the Employee Retirement Income Security Act of 1974).
(C)Special rule for payment of taxes on deferred compensation included in income
If an employer provides directly or indirectly for the payment of any Federal, State, or local income taxes with respect to any compensation required to be included in gross income by reason of this paragraph—
(i)interest shall be imposed under subsection (a)(1)(B)(i)(I) on the amount of such payment in the same manner as if such payment was part of the deferred compensation to which it relates,
(ii)such payment shall be taken into account in determining the amount of the additional tax under subsection (a)(1)(B)(i)(II) in the same manner as if such payment was part of the deferred compensation to which it relates, and
(iii)no deduction shall be allowed under this title with respect to such payment.
(D)Other definitions
For purposes of this section—
(i)Applicable covered employee
The term “applicable covered employee” means any—
(I)covered employee of a plan sponsor,
(II)covered employee of a member of a controlled group which includes the plan sponsor, and
(III)former employee who was a covered employee at the time of termination of employment with the plan sponsor or a member of a controlled group which includes the plan sponsor.
(ii)Covered employee
The term “covered employee” means an individual described in section 162(m)(3) or an individual subject to the requirements of section 16(a) of the Securities Exchange Act of 1934.
(4)Income inclusion for offshore trusts and employer’s financial health
For each taxable year that assets treated as transferred under this subsection remain set aside in a trust or other arrangement subject to paragraph (1), (2), or (3), any increase in value in, or earnings with respect to, such assets shall be treated as an additional transfer of property under this subsection (to the extent not previously included in income).
(5)Interest on tax liability payable with respect to transferred property
(A)In general
If amounts are required to be included in gross income by reason of paragraph (1), (2), or (3) for a taxable year, the tax imposed by this chapter for such taxable year shall be increased by the sum of—
(i)the amount of interest determined under subparagraph (B), and
(ii)an amount equal to 20 percent of the amounts required to be included in gross income.
(B)Interest
For purposes of subparagraph (A), the interest determined under this subparagraph for any taxable year is the amount of interest at the underpayment rate plus 1 percentage point on the underpayments that would have occurred had the amounts so required to be included in gross income by paragraph (1), (2), or (3) been includible in gross income for the taxable year in which first deferred or, if later, the first taxable year in which such amounts are not subject to a substantial risk of forfeiture.
(c)No inference on earlier income inclusion or requirement of later inclusion
Nothing in this section shall be construed to prevent the inclusion of amounts in gross income under any other provision of this chapter or any other rule of law earlier than the time provided in this section. Any amount included in gross income under this section shall not be required to be included in gross income under any other provision of this chapter or any other rule of law later than the time provided in this section.
(d)Other definitions and special rules
For purposes of this section:
(1)Nonqualified deferred compensation plan
The term “nonqualified deferred compensation plan” means any plan that provides for the deferral of compensation, other than—
(A)a qualified employer plan, and
(B)any bona fide vacation leave, sick leave, compensatory time, disability pay, or death benefit plan.
(2)Qualified employer plan
The term “qualified employer plan” means—
(A)any plan, contract, pension, account, or trust described in subparagraph (A) or (B) of section 219(g)(5) (without regard to subparagraph (A)(iii)),
(B)any eligible deferred compensation plan (within the meaning of section 457(b)), and
(C)any plan described in section 415(m).
(3)Plan includes arrangements, etc.
The term “plan” includes any agreement or arrangement, including an agreement or arrangement that includes one person.
(4)Substantial risk of forfeiture
The rights of a person to compensation are subject to a substantial risk of forfeiture if such person’s rights to such compensation are conditioned upon the future performance of substantial services by any individual.
(5)Treatment of earnings
References to deferred compensation shall be treated as including references to income (whether actual or notional) attributable to such compensation or such income.
(6)Aggregation rules
Except as provided by the Secretary, rules similar to the rules of subsections (b) and (c) of section 414 shall apply.
(7)Treatment of qualified stock
An arrangement under which an employee may receive qualified stock (as defined in section 83(i)(2)) shall not be treated as a nonqualified deferred compensation plan with respect to such employee solely because of such employee’s election, or ability to make an election, to defer recognition of income under section 83(i).
(e)Regulations
The Secretary shall prescribe such regulations as may be necessary or appropriate to carry out the purposes of this section, including regulations—
(1)providing for the determination of amounts of deferral in the case of a nonqualified deferred compensation plan which is a defined benefit plan,
(2)relating to changes in the ownership and control of a corporation or assets of a corporation for purposes of subsection (a)(2)(A)(v),
(3)exempting arrangements from the application of subsection (b) if such arrangements will not result in an improper deferral of United States tax and will not result in assets being effectively beyond the reach of creditors,
(4)defining financial health for purposes of subsection (b)(2), and
(5)disregarding a substantial risk of forfeiture in cases where necessary to carry out the purposes of this section.
(Added Pub. L. 108–357, title VIII, § 885(a), Oct. 22, 2004, 118 Stat. 1634; amended Pub. L. 109–135, title IV, § 403(hh)(2), Dec. 21, 2005, 119 Stat. 2631; Pub. L. 109–280, title I, § 116(a), (b), Aug. 17, 2006, 120 Stat. 856, 858; Pub. L. 110–458, title I, § 101(e), Dec. 23, 2008, 122 Stat. 5100; Pub. L. 115–97, title I, § 13603(c)(2), Dec. 22, 2017, 131 Stat. 2164; Pub. L. 115–141, div. U, title IV, § 401(a)(80), Mar. 23, 2018, 132 Stat. 1187.)</t>
  </si>
  <si>
    <t>🚨 Urgent: Section 409A Compliance Alert for [Entity]
How this affects you:
IRC Section 409A strictly regulates the timing of nonqualified deferred compensation. Failure to comply with these rules triggers immediate taxation of your \[Deferral\_Amount\] in deferred pay, plus a mandatory 20% penalty—estimated at \[Penalty\_Risk\]—and accrued interest. To avoid these penalties, all deferral elections must generally be made by the end of the year preceding the service year, and distributions must be limited to specific events like \[Distribution\_Event\].
✅ Conduct a 409A valuation review by \[Valuation\_Date\] to ensure stock rights are not treated as deferred compensation
✅ Verify that all initial deferral elections were documented before the applicable year-end deadline
✅ Maintain strict documentation for all distribution events to prevent impermissible acceleration of benefits
📚 Source: IRC Section 409A
⚠️ Disclaimer: This template is for informational purposes only. Tax laws are subject to change and individual circumstances vary. Please consult with a qualified tax professional to confirm eligibility and compliance for your specific entity.</t>
  </si>
  <si>
    <t>§1202</t>
  </si>
  <si>
    <t>(a)Exclusion
(1)In general
In the case of a taxpayer other than a corporation, gross income shall not include—
(A)except as provided in paragraphs (3) and (4), 50 percent of any gain from the sale or exchange of qualified small business stock acquired on or before the applicable date and held for more than 5 years, and
(B)the applicable percentage of any gain from the sale or exchange of qualified small business stock acquired after the applicable date and held for at least 3 years.
(2)Empowerment zone businesses
(A)In general
In the case of qualified small business stock acquired after the date of the enactment of this paragraph in a corporation which is a qualified business entity (as defined in section 1397C(b)) during substantially all of the taxpayer’s holding period for such stock, paragraph (1) shall be applied by substituting “60 percent” for “50 percent”.
(B)Certain rules to apply
Rules similar to the rules of paragraphs (5) and (7) of section 1400B(b) (as in effect before its repeal) shall apply for purposes of this paragraph.
(C)Gain after 2018 not qualified
Subparagraph (A) shall not apply to gain attributable to periods after December 31, 2018.
(D)Treatment of DC zone
The District of Columbia Enterprise Zone shall not be treated as an empowerment zone for purposes of this paragraph.
(3)Special rules for 2009 and certain periods in 2010
In the case of qualified small business stock acquired after the date of the enactment of this paragraph and on or before the date of the enactment of the Creating Small Business Jobs Act of 2010—
(A)paragraph (1)(A) shall be applied by substituting “75 percent” for “50 percent”, and
(B)paragraph (2) shall not apply.
In the case of any stock which would be described in the preceding sentence (but for this sentence), the acquisition date for purposes of this subsection shall be the first day on which such stock was held by the taxpayer determined after the application of section 1223.
(4)100 percent exclusion for stock acquired during certain periods in 2010 and thereafter
In the case of qualified small business stock acquired after the date of the enactment of the Creating Small Business Jobs Act of 2010 and on or before the applicable date—
(A)paragraph (1)(A) shall be applied by substituting “100 percent” for “50 percent”,[1]
(B)paragraph (2) shall not apply.
In the case of any stock which would be described in the preceding sentence (but for this sentence), the acquisition date for purposes of this subsection shall be the first day on which such stock was held by the taxpayer determined after the application of section 1223.
(5)Applicable percentage
The applicable percentage under paragraph (1) shall be determined under the following table:
Years stock held:
Applicable
percentage:
3 years
50%
4 years
75%
5 years or more
100%
(6)Applicable date; acquisition date
For purposes of this section—
(A)Applicable date
The term “applicable date” means the date of the enactment of this paragraph.
(B)Acquisition date
In the case of any stock which would (but for this paragraph) be treated as having been acquired before, on, or after the applicable date, whichever is applicable, the acquisition date for purposes of this section shall be the first day on which such stock was held by the taxpayer determined after the application of section 1223.
(b)Per-issuer limitation on taxpayer’s eligible gain
(1)In general
If the taxpayer has eligible gain for the taxable year from 1 or more dispositions of stock issued by any corporation, the aggregate amount of such gain from dispositions of stock issued by such corporation which may be taken into account under subsection (a) for the taxable year shall not exceed the greater of—
(A)the applicable dollar limit for the taxable year, or
(B)10 times the aggregate adjusted bases of qualified small business stock issued by such corporation and disposed of by the taxpayer during the taxable year.
For purposes of subparagraph (B), the adjusted basis of any stock shall be determined without regard to any addition to basis after the date on which such stock was originally issued.
(2)Eligible gain
For purposes of this subsection, the term “eligible gain” means any gain from the sale or exchange of qualified small business stock held for at least 3 years (more than 5 years in the case of stock acquired on or before the applicable date).
(3)Treatment of married individuals
(A)Separate returns
In the case of a separate return by a married individual for any taxable year—
(i)paragraph (4)(A) shall be applied by substituting “$5,000,000” for “$10,000,000”, and
(ii)paragraph (4)(B) shall be applied by substituting one-half of the dollar amount in effect under such paragraph for the taxable year for the amount so in effect.
(B)Allocation of exclusion
In the case of any joint return, the amount of gain taken into account under subsection (a) shall be allocated equally between the spouses for purposes of applying this subsection to subsequent taxable years.
(C)Marital status
For purposes of this subsection, marital status shall be determined under section 7703.
(4) [2] Applicable dollar limit
For purposes of paragraph (1)(A), the applicable dollar limit for any taxable year with respect to eligible gain from 1 or more dispositions by a taxpayer of qualified business stock of a corporation is—
(A)if such stock was acquired by the taxpayer on or before the applicable date, $10,000,000, reduced by the aggregate amount of eligible gain taken into account by the taxpayer under subsection (a) for prior taxable years and attributable to dispositions of stock issued by such corporation and acquired by the taxpayer before, on, or after the applicable date, and
(B)if such stock was acquired by the taxpayer after the applicable date, $15,000,000, reduced by the sum of—
(i)the aggregate amount of eligible gain taken into account by the taxpayer under subsection (a) for prior taxable years and attributable to dispositions of stock issued by such corporation and acquired by the taxpayer before, on, or after the applicable date, plus
(ii)the aggregate amount of eligible gain taken into account by the taxpayer under subsection (a) for the taxable year and attributable to dispositions of stock issued by such corporation and acquired by the taxpayer on or before the applicable date.
(5)Inflation adjustment
(A)In general
In the case of any taxable year beginning after 2026, the $15,000,000 amount in paragraph (4)(B) shall be increased by an amount equal to—
(i)such dollar amount, multiplied by
(ii)the cost-of-living adjustment determined under section 1(f)(3) for the calendar year in which the taxable year begins, determined by substituting “calendar year 2025” for “calendar year 2016” in subparagraph (A)(ii) thereof.
If any increase under this subparagraph is not a multiple of $10,000, such increase shall be rounded to the nearest multiple of $10,000.
(B)No increase once limit reached
If, for any taxable year, the eligible gain attributable to dispositions of stock issued by a corporation and acquired by the taxpayer after the applicable date exceeds the applicable dollar limit, then notwithstanding any increase under subparagraph (A) for any subsequent taxable year, the applicable dollar limit for such subsequent taxable year shall be zero.
(4) 2 Inflation adjustment
In the case of any taxable year beginning after 2026, the $75,000,000 amounts in paragraphs (1)(A) and (1)(B) shall each be increased by an amount equal to—
(A)such dollar amount, multiplied by
(B)the cost-of-living adjustment determined under section 1(f)(3) for the calendar year in which the taxable year begins, determined by substituting “calendar year 2025” for “calendar year 2016” in subparagraph (A)(ii) thereof.
If any increase under this paragraph is not a multiple of $10,000, such increase shall be rounded to the nearest multiple of $10,000.
(c)Qualified small business stock
For purposes of this section—
(1)In general
Except as otherwise provided in this section, the term “qualified small business stock” means any stock in a C corporation which is originally issued after the date of the enactment of the Revenue Reconciliation Act of 1993, if—
(A)as of the date of issuance, such corporation is a qualified small business, and
(B)except as provided in subsections (f) and (h), such stock is acquired by the taxpayer at its original issue (directly or through an underwriter)—
(i)in exchange for money or other property (not including stock), or
(ii)as compensation for services provided to such corporation (other than services performed as an underwriter of such stock).
(2)Active business requirement; etc.
(A)In general
Stock in a corporation shall not be treated as qualified small business stock unless, during substantially all of the taxpayer’s holding period for such stock, such corporation meets the active business requirements of subsection (e) and such corporation is a C corporation.
(B)Special rule for certain small business investment companies
(i)Waiver of active business requirement
Notwithstanding any provision of subsection (e), a corporation shall be treated as meeting the active business requirements of such subsection for any period during which such corporation qualifies as a specialized small business investment company.
(ii)Specialized small business investment company
For purposes of clause (i), the term “specialized small business investment company” means any eligible corporation (as defined in subsection (e)(4)) which is licensed to operate under section 301(d) of the Small Business Investment Act of 1958 (as in effect on May 13, 1993).
(3)Certain purchases by corporation of its own stock
(A)Redemptions from taxpayer or related person
Stock acquired by the taxpayer shall not be treated as qualified small business stock if, at any time during the 4-year period beginning on the date 2 years before the issuance of such stock, the corporation issuing such stock purchased (directly or indirectly) any of its stock from the taxpayer or from a person related (within the meaning of section 267(b) or 707(b)) to the taxpayer.
(B)Significant redemptions
Stock issued by a corporation shall not be treated as qualified business stock if, during the 2-year period beginning on the date 1 year before the issuance of such stock, such corporation made 1 or more purchases of its stock with an aggregate value (as of the time of the respective purchases) exceeding 5 percent of the aggregate value of all of its stock as of the beginning of such 2-year period.
(C)Treatment of certain transactions
If any transaction is treated under section 304(a) as a distribution in redemption of the stock of any corporation, for purposes of subparagraphs (A) and (B), such corporation shall be treated as purchasing an amount of its stock equal to the amount treated as such a distribution under section 304(a).
(d)Qualified small business
For purposes of this section—
(1)In general
The term “qualified small business” means any domestic corporation which is a C corporation if—
(A)the aggregate gross assets of such corporation (or any predecessor thereof) at all times on or after the date of the enactment of the Revenue Reconciliation Act of 1993 and before the issuance did not exceed $75,000,000,
(B)the aggregate gross assets of such corporation immediately after the issuance (determined by taking into account amounts received in the issuance) do not exceed $75,000,000, and
(C)such corporation agrees to submit such reports to the Secretary and to shareholders as the Secretary may require to carry out the purposes of this section.
(2)Aggregate gross assets
(A)In general
For purposes of paragraph (1), the term “aggregate gross assets” means the amount of cash and the aggregate adjusted bases of other property held by the corporation.
(B)Treatment of contributed property
For purposes of subparagraph (A), the adjusted basis of any property contributed to the corporation (or other property with a basis determined in whole or in part by reference to the adjusted basis of property so contributed) shall be determined as if the basis of the property contributed to the corporation (immediately after such contribution) were equal to its fair market value as of the time of such contribution.
(3)Aggregation rules
(A)In general
All corporations which are members of the same parent-subsidiary controlled group shall be treated as 1 corporation for purposes of this subsection.
(B)Parent-subsidiary controlled group
For purposes of subparagraph (A), the term “parent-subsidiary controlled group” means any controlled group of corporations as defined in section 1563(a)(1), except that—
(i)“more than 50 percent” shall be substituted for “at least 80 percent” each place it appears in section 1563(a)(1), and
(ii)section 1563(a)(4) shall not apply.
(e)Active business requirement
(1)In general
For purposes of subsection (c)(2), the requirements of this subsection are met by a corporation for any period if during such period—
(A)at least 80 percent (by value) of the assets of such corporation are used by such corporation in the active conduct of 1 or more qualified trades or businesses, and
(B)such corporation is an eligible corporation.
(2)Special rule for certain activities
For purposes of paragraph (1), if, in connection with any future qualified trade or business, a corporation is engaged in—
(A)start-up activities described in section 195(c)(1)(A),
(B)activities resulting in the payment or incurring of expenditures which are treated as foreign research or experimental expenditures under section 174 or domestic research or experimental expenditures under section 174A, or
(C)activities with respect to in-house research expenses described in section 41(b)(4),
assets used in such activities shall be treated as used in the active conduct of a qualified trade or business. Any determination under this paragraph shall be made without regard to whether a corporation has any gross income from such activities at the time of the determination.
(3)Qualified trade or business
For purposes of this subsection, the term “qualified trade or business” means any trade or business other than—
(A)any trade or business involving the performance of services in the fields of health, law, engineering, architecture, accounting, actuarial science, performing arts, consulting, athletics, financial services, brokerage services, or any trade or business where the principal asset of such trade or business is the reputation or skill of 1 or more of its employees,
(B)any banking, insurance, financing, leasing, investing, or similar business,
(C)any farming business (including the business of raising or harvesting trees),
(D)any business involving the production or extraction of products of a character with respect to which a deduction is allowable under section 613 or 613A, and
(E)any business of operating a hotel, motel, restaurant, or similar business.
(4)Eligible corporation
For purposes of this subsection, the term “eligible corporation” means any domestic corporation; except that such term shall not include—
(A)a DISC or former DISC,
(B)a regulated investment company, real estate investment trust, or REMIC, and
(C)a cooperative.
(5)Stock in other corporations
(A)Look-thru in case of subsidiaries
For purposes of this subsection, stock and debt in any subsidiary corporation shall be disregarded and the parent corporation shall be deemed to own its ratable share of the subsidiary’s assets, and to conduct its ratable share of the subsidiary’s activities.
(B)Portfolio stock or securities
A corporation shall be treated as failing to meet the requirements of paragraph (1) for any period during which more than 10 percent of the value of its assets (in excess of liabilities) consists of stock or securities in other corporations which are not subsidiaries of such corporation (other than assets described in paragraph (6)).
(C)Subsidiary
For purposes of this paragraph, a corporation shall be considered a subsidiary if the parent owns more than 50 percent of the combined voting power of all classes of stock entitled to vote, or more than 50 percent in value of all outstanding stock, of such corporation.
(6)Working capital
For purposes of paragraph (1)(A), any assets which—
(A)are held as a part of the reasonably required working capital needs of a qualified trade or business of the corporation, or
(B)are held for investment and are reasonably expected to be used within 2 years to finance research and experimentation in a qualified trade or business or increases in working capital needs of a qualified trade or business,
shall be treated as used in the active conduct of a qualified trade or business. For periods after the corporation has been in existence for at least 2 years, in no event may more than 50 percent of the assets of the corporation qualify as used in the active conduct of a qualified trade or business by reason of this paragraph.
(7)Maximum real estate holdings
A corporation shall not be treated as meeting the requirements of paragraph (1) for any period during which more than 10 percent of the total value of its assets consists of real property which is not used in the active conduct of a qualified trade or business. For purposes of the preceding sentence, the ownership of, dealing in, or renting of real property shall not be treated as the active conduct of a qualified trade or business.
(8)Computer software royalties
For purposes of paragraph (1), rights to computer software which produces active business computer software royalties (within the meaning of section 543(d)(1)) shall be treated as an asset used in the active conduct of a trade or business.
(f)Stock acquired on conversion of other stock
If any stock in a corporation is acquired solely through the conversion of other stock in such corporation which is qualified small business stock in the hands of the taxpayer—
(1)the stock so acquired shall be treated as qualified small business stock in the hands of the taxpayer, and
(2)the stock so acquired shall be treated as having been held during the period during which the converted stock was held.
(g)Treatment of pass-thru entities
(1)In general
If any amount included in gross income by reason of holding an interest in a pass-thru entity meets the requirements of paragraph (2)—
(A)such amount shall be treated as gain described in subsection (a), and
(B)for purposes of applying subsection (b), such amount shall be treated as gain from a disposition of stock in the corporation issuing the stock disposed of by the pass-thru entity and the taxpayer’s proportionate share of the adjusted basis of the pass-thru entity in such stock shall be taken into account.
(2)Requirements
An amount meets the requirements of this paragraph if—
(A)such amount is attributable to gain on the sale or exchange by the pass-thru entity of stock which is qualified small business stock in the hands of such entity (determined by treating such entity as an individual) and which was held by such entity for at least 3 years (more than 5 years in the case of stock acquired on or before the applicable date), and
(B)such amount is includible in the gross income of the taxpayer by reason of the holding of an interest in such entity which was held by the taxpayer on the date on which such pass-thru entity acquired such stock and at all times thereafter before the disposition of such stock by such pass-thru entity.
(3)Limitation based on interest originally held by taxpayer
Paragraph (1) shall not apply to any amount to the extent such amount exceeds the amount to which paragraph (1) would have applied if such amount were determined by reference to the interest the taxpayer held in the pass-thru entity on the date the qualified small business stock was acquired.
(4)Pass-thru entity
For purposes of this subsection, the term “pass-thru entity” means—
(A)any partnership,
(B)any S corporation,
(C)any regulated investment company, and
(D)any common trust fund.
(h)Certain tax-free and other transfers
For purposes of this section—
(1)In general
In the case of a transfer described in paragraph (2), the transferee shall be treated as—
(A)having acquired such stock in the same manner as the transferor, and
(B)having held such stock during any continuous period immediately preceding the transfer during which it was held (or treated as held under this subsection) by the transferor.
(2)Description of transfers
A transfer is described in this subsection if such transfer is—
(A)by gift,
(B)at death, or
(C)from a partnership to a partner of stock with respect to which requirements similar to the requirements of subsection (g) are met at the time of the transfer (without regard to the 5-year holding period requirement).
(3)Certain rules made applicable
Rules similar to the rules of section 1244(d)(2) shall apply for purposes of this section.
(4)Incorporations and reorganizations involving nonqualified stock
(A)In general
In the case of a transaction described in section 351 or a reorganization described in section 368, if qualified small business stock is exchanged for other stock which would not qualify as qualified small business stock but for this subparagraph, such other stock shall be treated as qualified small business stock acquired on the date on which the exchanged stock was acquired.
(B)Limitation
This section shall apply to gain from the sale or exchange of stock treated as qualified small business stock by reason of subparagraph (A) only to the extent of the gain which would have been recognized at the time of the transfer described in subparagraph (A) if section 351 or 368 had not applied at such time. The preceding sentence shall not apply if the stock which is treated as qualified small business stock by reason of subparagraph (A) is issued by a corporation which (as of the time of the transfer described in subparagraph (A)) is a qualified small business.
(C)Successive application
For purposes of this paragraph, stock treated as qualified small business stock under subparagraph (A) shall be so treated for subsequent transactions or reorganizations, except that the limitation of subparagraph (B) shall be applied as of the time of the first transfer to which such limitation applied (determined after the application of the second sentence of subparagraph (B)).
(D)Control test
In the case of a transaction described in section 351, this paragraph shall apply only if, immediately after the transaction, the corporation issuing the stock owns directly or indirectly stock representing control (within the meaning of section 368(c)) of the corporation whose stock was exchanged.
(i)Basis rules
For purposes of this section—
(1)Stock exchanged for property
In the case where the taxpayer transfers property (other than money or stock) to a corporation in exchange for stock in such corporation—
(A)such stock shall be treated as having been acquired by the taxpayer on the date of such exchange, and
(B)the basis of such stock in the hands of the taxpayer shall in no event be less than the fair market value of the property exchanged.
(2)Treatment of contributions to capital
If the adjusted basis of any qualified small business stock is adjusted by reason of any contribution to capital after the date on which such stock was originally issued, in determining the amount of the adjustment by reason of such contribution, the basis of the contributed property shall in no event be treated as less than its fair market value on the date of the contribution.
(j)Treatment of certain short positions
(1)In general
If the taxpayer has an offsetting short position with respect to any qualified small business stock, subsection (a) shall not apply to any gain from the sale or exchange of such stock unless—
(A)such stock was held by the taxpayer for at least 3 years (more than 5 years in the case of stock acquired on or before the applicable date) as of the first day on which there was such a short position, and
(B)the taxpayer elects to recognize gain as if such stock were sold on such first day for its fair market value.
(2)Offsetting short position
For purposes of paragraph (1), the taxpayer shall be treated as having an offsetting short position with respect to any qualified small business stock if—
(A)the taxpayer has made a short sale of substantially identical property,
(B)the taxpayer has acquired an option to sell substantially identical property at a fixed price, or
(C)to the extent provided in regulations, the taxpayer has entered into any other transaction which substantially reduces the risk of loss from holding such qualified small business stock.
For purposes of the preceding sentence, any reference to the taxpayer shall be treated as including a reference to any person who is related (within the meaning of section 267(b) or 707(b)) to the taxpayer.
(k)Regulations
The Secretary shall prescribe such regulations as may be appropriate to carry out the purposes of this section, including regulations to prevent the avoidance of the purposes of this section through split-ups, shell corporations, partnerships, or otherwise.
(Added Pub. L. 103–66, title XIII, § 13113(a), Aug. 10, 1993, 107 Stat. 422; amended Pub. L. 104–188, title I, § 1621(b)(7), Aug. 20, 1996, 110 Stat. 1867; Pub. L. 106–554, § 1(a)(7) [title I, § 117(a), (b)(2)], Dec. 21, 2000, 114 Stat. 2763, 2763A–604; Pub. L. 108–357, title VIII, § 835(b)(9), Oct. 22, 2004, 118 Stat. 1594; Pub. L. 111–5, div. B, title I, § 1241(a), Feb. 17, 2009, 123 Stat. 342; Pub. L. 111–240, title II, § 2011(a), (b), Sept. 27, 2010, 124 Stat. 2554; Pub. L. 111–312, title VII, §§ 753(b), 760(a), Dec. 17, 2010, 124 Stat. 3321, 3323; Pub. L. 112–240, title III, §§ 324(a), (b), 327(b), Jan. 2, 2013, 126 Stat. 2333, 2334; Pub. L. 113–295, div. A, title I, § 136(a), Dec. 19, 2014, 128 Stat. 4019; Pub. L. 114–113, div. Q, title I, § 126(a), Dec. 18, 2015, 129 Stat. 3054; Pub. L. 115–141, div. U, title IV, § 401(d)(1)(D)(xv), (4)(B)(v), Mar. 23, 2018, 132 Stat. 1208, 1209; Pub. L. 119–21, title VII, §§ 70302(b)(11), 70431(a)(1)–(3), (4)(B), (5), (b)(1)–(3), (c)(1), (2), July 4, 2025, 139 Stat. 192, 240–242.)</t>
  </si>
  <si>
    <t>🚨 Important: Qualified Small Business Stock (QSBS) Tax Exclusion for [Entity]
How this affects you:
Maximize your exit strategy by leveraging the IRC Section 1202 exclusion. For eligible stock, you can exclude up to 100% of capital gains from your gross income. Based on your \[Stock\_Basis\], your potential \[Exclusion\_Amount\] is capped at the greater of $10M ($15M for post-2025 issuances) or 10 times your initial basis, effectively reducing your federal tax rate on the sale to 0%.
✅ \[Eligibility\_Check\] Verify the entity is a domestic C-Corp and meets active business requirements
✅ \[Eligibility\_Check\] Confirm aggregate gross assets did not exceed $50M ($75M for post-2025 issuances) at issuance
✅ \[Holding\_Period\] Track your \[Holding\_Period\] to ensure it meets the 5-year requirement for a 100% exclusion
📚 Source: IRC Section 1202
⚠️ Disclaimer: This template is for informational purposes only. Tax laws are subject to change and individual circumstances vary. Please consult with a qualified tax professional to confirm eligibility and compliance for your specific entity.</t>
  </si>
  <si>
    <t>Date</t>
  </si>
  <si>
    <t>Account</t>
  </si>
  <si>
    <t>Description</t>
  </si>
  <si>
    <t>Amount</t>
  </si>
  <si>
    <t>Vendor</t>
  </si>
  <si>
    <t>Expense</t>
  </si>
  <si>
    <t>R&amp;D - Engineering Salaries</t>
  </si>
  <si>
    <t>Qualified research activities documented</t>
  </si>
  <si>
    <t>Fixed Asset</t>
  </si>
  <si>
    <t>Equipment - Computers</t>
  </si>
  <si>
    <t>Off-the-shelf software + hardware; placed in service 2026</t>
  </si>
  <si>
    <t>R&amp;D - Supplies</t>
  </si>
  <si>
    <t>Qualified research supplies</t>
  </si>
  <si>
    <t>Payroll</t>
  </si>
  <si>
    <t>W-2 Wages - Executive</t>
  </si>
  <si>
    <t>Employee earns above 2026 FICA wage base ($184,500)</t>
  </si>
  <si>
    <t>Income</t>
  </si>
  <si>
    <t>Net Business Income (Pass-through)</t>
  </si>
  <si>
    <t>S-Corp; W-2 wages paid: $65,000; Qualified property UBIA: $120,000</t>
  </si>
  <si>
    <t>2026-Q1</t>
  </si>
  <si>
    <t>R&amp;D - Software Development</t>
  </si>
  <si>
    <t>Domestic research; qualified technological purpose; technical uncertainty documented</t>
  </si>
  <si>
    <t>Inventory</t>
  </si>
  <si>
    <t>Production Overhead - Manufacturing</t>
  </si>
  <si>
    <t>Retailer/manufacturer with inventory; indirect costs allocated to production</t>
  </si>
  <si>
    <t>Interest Expense - Business Loan</t>
  </si>
  <si>
    <t>EBITDA: $250,000; Business has term loan; interest paid on acquisition debt</t>
  </si>
  <si>
    <t>2026-Q4</t>
  </si>
  <si>
    <t>Meals &amp; Entertainment - Client Development</t>
  </si>
  <si>
    <t>Business meals with clients; includes $3,000 entertainment (tickets, events)</t>
  </si>
  <si>
    <t>Liability</t>
  </si>
  <si>
    <t>Deferred Revenue - Annual Subscription</t>
  </si>
  <si>
    <t>SaaS business; 12-month contract paid upfront; performance obligation ratably over term</t>
  </si>
  <si>
    <t>Home Office Expense - Utilities &amp; Rent</t>
  </si>
  <si>
    <t>Solo founder; home office 250 sq ft of 2,000 sq ft home (12.5% business use); exclusive use documented</t>
  </si>
  <si>
    <t>Employee Benefits - Commuter Reimbursement</t>
  </si>
  <si>
    <t>12 employees; $315/month commuter benefit provided; qualified transportation fringe under §132(f)</t>
  </si>
  <si>
    <t>Executive Compensation - CEO</t>
  </si>
  <si>
    <t>Publicly traded C-Corp; CEO is covered employee; $200K qualifies as performance-based under §162(m)(4)(C)</t>
  </si>
  <si>
    <t>Equity</t>
  </si>
  <si>
    <t>Stock-Based Compensation - Option Grant</t>
  </si>
  <si>
    <t>Startup; ISO grant with exercise price = FMV per 409A valuation dated 2026-01-15; 4-year vesting</t>
  </si>
  <si>
    <t>Common Stock Issuance - Founder Shares</t>
  </si>
  <si>
    <t>C-Corp; active tech business; gross assets &lt; $50M at issuance; original issuance; holding period started 2021-06-15</t>
  </si>
  <si>
    <t>Client</t>
  </si>
  <si>
    <t>Alert Message</t>
  </si>
  <si>
    <t>Status</t>
  </si>
  <si>
    <t>Notes</t>
  </si>
  <si>
    <t>§3121 - 🚨 Important: FICA Wage Base Limit Reached
How this affects you::
Your employee has reached the 2026 Social Security wage base limit of $184,500. You no longer need to withhold or pay the 6.2% Social Security tax on their additional wages for the rest of the year.
✅ Verify payroll system has stopped Social Security tax withholding for this employee
✅ Ensure Medicare tax (1.45%) continues to be withheld
📚 Source: IRC Section 3121
💰 Estimated Tax Impact: Savings of 6.2% on wages over $184,500 for both employer and employee.
⚠️ Disclaimer: This template is for informational purposes only. Please consult with a qualified tax professional.</t>
  </si>
  <si>
    <t>IRC_Section</t>
  </si>
  <si>
    <t>Summary</t>
  </si>
  <si>
    <t>Entity_Types</t>
  </si>
  <si>
    <t>QB_Fields_Needed</t>
  </si>
  <si>
    <t>Alert_Template</t>
  </si>
  <si>
    <t>Impact_Notes</t>
  </si>
  <si>
    <t>Source_URL</t>
  </si>
  <si>
    <t>Effective_Date</t>
  </si>
  <si>
    <t>Filtered_Section</t>
  </si>
  <si>
    <t>Filtered_Summary</t>
  </si>
  <si>
    <t>Filtered_QB_Fields</t>
  </si>
  <si>
    <t>Filtered_Template</t>
  </si>
  <si>
    <t>Filtered_Impact</t>
  </si>
  <si>
    <t>Filtered_URL</t>
  </si>
  <si>
    <t>Filtered_Date</t>
  </si>
  <si>
    <t>Filtered_Status</t>
  </si>
  <si>
    <t>Businesses can immediately deduct 100% of the cost of certain qualified property in the first year.</t>
  </si>
  <si>
    <t>Industries: [Motion Picture and Video, Sound Recording, Performing Arts, Agriculture, Transportation] | Entities: [Corporations, Limited Liability Companies, Partnerships]</t>
  </si>
  <si>
    <t>Fixed Asset Accounts, Purchase Date, Asset Description, Original Cost, Accumulated Depreciation, Section 179/Bonus Depreciation Election, Chart of Accounts (for business type and floor plan financing interest), Vehicle Log (for 280F compliance), Item List (for computer software or media productions)</t>
  </si>
  <si>
    <t>🚨 Important: Bonus Depreciation Update for [Entity]
How this affects you::
As of [Date], your business may be eligible for a 100% immediate deduction on the [Amount] adjusted basis of qualified property placed in service this year. This "bonus depreciation" allows you to write off the full cost of assets like equipment, certain software, and specific productions in a single taxable year rather than over time.
✅ Verify your property has a recovery period of 20 years or less or is qualified computer software
✅ Ensure the original use of the property began with your entity or meets specific acquisition requirements
✅ Confirm the asset was placed in service by the applicable [Date] deadline to qualify for the full 100% allowance
📚 Source: IRC Section 168(k)
⚠️ Disclaimer: This template is for informational purposes only. Tax laws are subject to change and individual circumstances vary. Please consult with a qualified tax professional to confirm eligibility and compliance for your specific entity.</t>
  </si>
  <si>
    <t>IRC Section 168 provides an immediate 100% bonus depreciation deduction for qualified property, which lowers your taxable income and can significantly reduce your effective tax rate in the year assets are placed in service.</t>
  </si>
  <si>
    <t>https://www.law.cornell.edu/uscode/text/26/168</t>
  </si>
  <si>
    <t>ACTIVE</t>
  </si>
  <si>
    <t>Businesses can immediately deduct the full cost of qualifying equipment and software instead of depreciating it over time.</t>
  </si>
  <si>
    <t>🚨 Important: Section 179 Expensing Update for [Entity]
How this affects you::
Great news for [Year]\! Based on your [R&amp;D_Spend] in qualifying property investments, your business could be eligible for a significant tax deduction. We estimate your potential credit at [Credit_Estimate]. This incentive allows [Entity] to treat the cost of qualifying section 179 property—like equipment, software, and certain real property improvements—as an immediate expense rather than a capital charge. For the [Year] taxable year, you can deduct up to $2,500,000 of the adjusted basis for assets placed in service this year.
✅ File Form 6765 to elect and claim your specific section 179 deductions
✅ Schedule a CPA review to ensure your property meet "active conduct of trade or business" requirements
✅ Update your QuickBooks tagging for all fixed assets to automate tracking and compliance
📚 Source: IRC Section 179
⚠️ Disclaimer: This template is for informational purposes only. Tax laws are subject to change and individual circumstances vary. Please consult with a qualified tax professional to confirm eligibility and compliance for your specific entity.</t>
  </si>
  <si>
    <t>IRC Section 179 provides an immediate deduction for equipment and software costs, which lowers taxable income and reduces your effective tax rate in the year these assets are placed in service.</t>
  </si>
  <si>
    <t>https://www.law.cornell.edu/uscode/text/26/179</t>
  </si>
  <si>
    <t>Businesses and startups qualify for a tax credit worth 14% to 20% of qualified research expenses.</t>
  </si>
  <si>
    <t>Industries: [Technology, Life Sciences, Manufacturing, Biotechnology, Aerospace] | Entities: [Corporations, Partnerships, Limited Liability Companies]</t>
  </si>
  <si>
    <t>Payroll Expenses (Wages), Supplies Expense, Contractor/Consultant Fees, R&amp;D Expense (Class/Account), Employee Time Tracking/Timesheets, Project Name, Project Description, Purchase Orders, Vendor Invoices, Form 941 (Payroll Tax), Gross Receipts (Sales)</t>
  </si>
  <si>
    <t>🚨 Important: Research &amp; Development Tax Credit for [Entity]
How this affects you::
Great news for [Year]\! Based on your [R&amp;D_Spend] in qualified research expenses, your business could be eligible for a significant tax credit. We estimate your potential credit at [Credit_Estimate]. This incentive is designed to reward your innovation by allowing you to claim a credit for wages, supplies, and contract research, helping you reinvest in your company's growth.
✅ Ensure all qualified expenses are properly documented for Form 6765
✅ Schedule a CPA review to verify your eligibility and maximize your credit
✅ Confirm that all R\&amp;D-related transactions are correctly tagged in QuickBooks
📚 Source: IRC Section 41
⚠️ Disclaimer: This template is for informational purposes only. Tax laws are subject to change and individual circumstances vary. Please consult with a qualified tax professional to confirm eligibility and compliance for your specific entity.</t>
  </si>
  <si>
    <t>IRC Section 41 provides a dollar-for-dollar credit that directly reduces your effective tax rate while incentivizing a higher R&amp;D intensity by lowering the after-tax cost of innovation.</t>
  </si>
  <si>
    <t>https://www.law.cornell.edu/uscode/text/26/41</t>
  </si>
  <si>
    <t>IRC §3121 limits FICA taxes to the first $184,500 of an employee's wages in 2026.</t>
  </si>
  <si>
    <t>Industries: [Technology, Professional Services, Finance, Healthcare, Manufacturing] | Entities: [Corporations, Limited Liability Companies, Partnerships]</t>
  </si>
  <si>
    <t>Payroll Expenses: Wages, Payroll Expenses: Taxes, Payroll Liabilities: Federal Taxes (941/944), Employee Profile (Tax Withholding), Payroll Item List, Payroll Summary Report, Payroll Tax and Wage Summary Report, Taxable Wage Audit Report, W-2 Forms</t>
  </si>
  <si>
    <t>🚨 Important: FICA Wage Base Limit Update for [Entity]
How this affects you::
For the 2026 tax year, the Social Security wage base is set at [Wage_Base]. This means that for your [Employee_Count] employees, any wages paid above this threshold are exempt from the 6.2% Social Security tax. Once an employee's year-to-date earnings surpass this limit, you should stop withholding the 6.2% employee portion and stop paying the 6.2% employer portion for the remainder of the year.
✅ Perform a payroll review to identify employees approaching the [Wage_Base] limit
✅ Verify that year-to-end W-2 wage reporting correctly reflects the Social Security cap
✅ Ensure all high-earner payroll items are correctly tagged in QuickBooks for accurate tax tracking
📚 Source: IRC Section 3121
⚠️ Disclaimer: This template is for informational purposes only. Tax laws are subject to change and individual circumstances vary. Please consult with a qualified tax professional to confirm eligibility and compliance for your specific entity.</t>
  </si>
  <si>
    <t>IRC Section 3121 improves cash flow and lowers your effective payroll tax ratio by exempting employee wages above $184,500 from the 6.2% Social Security tax.</t>
  </si>
  <si>
    <t>https://www.law.cornell.edu/uscode/text/26/3121</t>
  </si>
  <si>
    <t>Eligible pass-through business owners can deduct up to 20% of their qualified business income from their taxable income.</t>
  </si>
  <si>
    <t>Industries: [Agriculture, Manufacturing, Real Estate, Professional Services, Retail] | Entities: [S Corporations, Partnerships, Sole Proprietorships]</t>
  </si>
  <si>
    <t>Net Income, W-2 Wages, Qualified Property (UBIA), Fixed Asset Accounts, Partner/Shareholder Distributions, Chart of Accounts (Entity Type), Cost of Goods Sold, Business Expenses</t>
  </si>
  <si>
    <t>🚨 Important: Qualified Business Income Deduction Update for [Entity]
How this affects you::
Great news\! Based on your [QBI_Amount] in qualified business income, your entity may be eligible for a deduction of up to 20%, estimated at [Deduction_Estimate]. This deduction can significantly reduce your taxable income. Please note that if your business is a Specified Service Trade or Business (SSTB), the deduction may be limited or phased out based on your total taxable income and the \[W2_Wages] paid by the business.
✅ Verify if your total taxable income is below the threshold for the full 20% deduction
✅ Review your \[W2_Wages] and unadjusted basis immediately after acquisition (UBIA) of qualified property to determine if wage and property limitations apply
✅ Consult with a CPA to confirm your business classification and maximize your eligible deduction
📚 Source: IRC Section 199A
⚠️ Disclaimer: This template is for informational purposes only. Tax laws are subject to change and individual circumstances vary. Please consult with a qualified tax professional to confirm eligibility and compliance for your specific entity.</t>
  </si>
  <si>
    <t>IRC Section 199A provides a deduction of up to 20% of qualified business income for pass-through entities, which effectively lowers your business's tax rate and increases retained owner equity.</t>
  </si>
  <si>
    <t>https://www.law.cornell.edu/uscode/text/26/199A</t>
  </si>
  <si>
    <t>Foreign research and experimental expenditures must be capitalized and amortized over a 15-year period.</t>
  </si>
  <si>
    <t>Industries: [Biotechnology, Software Development, Pharmaceuticals, Technology, Manufacturing] | Entities: [Corporations, Partnerships, Limited Liability Companies]</t>
  </si>
  <si>
    <t>Payroll Expenses, Contractor/Consultant Fees, Supplies Expense, Software Development Costs, R&amp;D Asset Account, Accumulated Amortization, Amortization Expense, Chart of Accounts, General Ledger Report, Project/Job Profitability Reports</t>
  </si>
  <si>
    <t>🚨 Important: Foreign R&amp;D Capitalization Update for [Entity]
How this affects you::
IRC Section 174 requires that all foreign research and experimental expenditures, including software development costs, must be capitalized rather than deducted immediately. These expenses must now be amortized ratably over a 15-year period, beginning with the midpoint of the taxable year in which they were incurred.
✅ Identify all foreign-based research, software development, and experimental expenditures
✅ Ensure these costs are moved to a capital account for proper amortization tracking
✅ Update your tax projections to account for the longer 15-year recovery period for foreign R\&amp;D
📚 Source: IRC Section 174
⚠️ Disclaimer: This template is for informational purposes only. Tax laws are subject to change and individual circumstances vary. Please consult with a qualified tax professional to confirm eligibility and compliance for your specific entity.</t>
  </si>
  <si>
    <t>IRC Section 174 requires foreign research and software development costs to be capitalized and amortized over 15 years, which reduces immediate tax deductions and negatively impacts short-term cash flow compared to full expensing.</t>
  </si>
  <si>
    <t>https://www.law.cornell.edu/uscode/text/26/174</t>
  </si>
  <si>
    <t>UNICAP requires businesses that produce or acquire property for resale to capitalize direct and certain indirect costs.</t>
  </si>
  <si>
    <t>Industries: [Manufacturing, Wholesale Trade, Retail Trade, Agriculture, Construction] | Entities: [Corporations, Partnerships, Limited Liability Companies]</t>
  </si>
  <si>
    <t>Cost of Goods Sold, Inventory Asset Accounts, Raw Materials, Work-in-Process, Finished Goods, Direct Labor, Manufacturing Overhead, Purchase Orders, Vendor Invoices, Gross Receipts, Indirect Production Costs (Rent, Utilities, Storage)</t>
  </si>
  <si>
    <t>🚨 Important: UNICAP Compliance Update for [Entity]
How this affects you::
IRC Section 263A (UNICAP) requires your business to capitalize certain direct and indirect costs into inventory or asset basis rather than deducting them as current expenses. If your average annual gross receipts exceed the [Threshold] small business exemption, you must capitalize costs like direct labor, materials, and a share of overhead allocable to produced or resold property.
✅ Identify all direct and indirect production or resale costs for capitalization
✅ Verify if your average annual gross receipts are below the [Threshold] exemption limit
✅ Ensure your QuickBooks Chart of Accounts correctly tracks inventory and capitalized overhead
📚 Source: IRC Section 263A
⚠️ Disclaimer: This template is for informational purposes only. Tax laws are subject to change and individual circumstances vary. Please consult with a qualified tax professional to confirm eligibility and compliance for your specific entity.</t>
  </si>
  <si>
    <t>IRC Section 263A requires direct and indirect costs to be capitalized rather than expensed, which can increase your taxable income and defer deductions until inventory is sold.</t>
  </si>
  <si>
    <t>https://www.law.cornell.edu/uscode/text/26/263A</t>
  </si>
  <si>
    <t>IRC Section 163(j) limits business interest deductions to 30% of adjusted taxable income plus business interest income.</t>
  </si>
  <si>
    <t>Industries: [Automotive, Agriculture, Real Estate, Manufacturing, Finance] | Entities: [Corporations, Partnerships, S Corporations]</t>
  </si>
  <si>
    <t>Interest Expense, Interest Income, Floor Plan Financing Interest, Gross Receipts (for 3-year average test), Net Income (Profit &amp; Loss), Depreciation, Amortization, Depletion, Net Operating Loss (NOL), Section 199A Deduction, Interest Capitalized to Assets, Loan Balance/Debt Liabilities, EBITDA/ATI Adjustments</t>
  </si>
  <si>
    <t>🚨 Important: Business Interest Deduction Update for [Entity]
How this affects you::
Based on your [Interest_Expense] and [EBITDA], your business interest deduction is generally limited to 30% of your adjusted taxable income. We estimate your current deduction limit at [Deduction_Limit], with a potential \[Disallowed\_Amount\] to be carried forward. This carryforward note ensures that any disallowed interest is not lost but can be treated as an expense in succeeding taxable years.
✅ Review your [EBITDA] and adjusted taxable income calculations for accuracy
✅ Implement a system for detailed interest tracking to manage carryforwards
✅ Consult with a CPA to evaluate debt structuring or potential elections
📚 Source: IRC Section 163(j)
⚠️ Disclaimer: This template is for informational purposes only. Tax laws are subject to change and individual circumstances vary. Please consult with a qualified tax professional to confirm eligibility and compliance for your specific entity.</t>
  </si>
  <si>
    <t>IRC Section 163(j) limits the tax deductibility of interest to 30% of adjusted taxable income, which can lower your interest coverage ratio and increase your after-tax debt-to-EBITDA costs by reducing the cash flow benefit of debt.</t>
  </si>
  <si>
    <t>https://www.law.cornell.edu/uscode/text/26/163</t>
  </si>
  <si>
    <t>IRC Section 274 generally disallows deductions for entertainment expenses while limiting business meal deductions to 50 percent.</t>
  </si>
  <si>
    <t>Industries: [Hospitality, Travel, Entertainment, Food and Beverage, Professional Services] | Entities: [Corporations, Partnerships, Limited Liability Companies, Sole Proprietorships]</t>
  </si>
  <si>
    <t>Travel Expense, Meals Expense, Entertainment Expense, Gifts, Automobile Expense, Lodging, Transportation, Chart of Accounts, General Ledger, Vendor Invoices, Receipts, Expense Reports</t>
  </si>
  <si>
    <t>🚨 Important: Business Meal and Entertainment Deduction Update for [Entity]
How this affects you::
Beginning in 2026, tax laws regarding meals and entertainment have tightened. While business meals with clients remain 50% deductible, most employer-provided meals (like on-site snacks or cafeteria food) are now nondeductible. Based on your current [Meal_Expense], we estimate your [Deductible_Amount] and [NonDeductible_Amount]. Note that entertainment activities—such as sporting events, golf, or club dues—remain 100% nondeductible even if they have a business purpose.
✅ Maintain detailed records for each meal, including the business purpose, relationship of attendees, date, and location to substantiate the 50% deduction
✅ Review and update your internal reimbursement policies to reflect the total loss of deductions for employer-provided convenience meals
✅ Tag all food and beverage expenses in QuickBooks by class or category to distinguish between 50% deductible travel/client meals and nondeductible entertainment
📚 Source: IRC Section 274
⚠️ Disclaimer: This template is for informational purposes only. Tax laws are subject to change and individual circumstances vary. Please consult with a qualified tax professional to confirm eligibility and compliance for your specific entity.</t>
  </si>
  <si>
    <t>IRC Section 274 increases your effective tax rate by disallowing deductions for entertainment and limiting business meal deductions, thereby raising taxable income without increasing cash flow.</t>
  </si>
  <si>
    <t>https://www.law.cornell.edu/uscode/text/26/274</t>
  </si>
  <si>
    <t>🚨 Important: Section 451 Advance Payment Update for [Entity]
How this affects you::
Under IRC §451, your [Advance_Payment] in advance payments must be carefully tracked. By electing the deferral method, you can recognize [Recognized_This_Year] this year and defer [Deferred_Amount] to the following year. This creates a [Tax_Timing] book-tax timing difference involving [Cash_Flow_Impact] that affects your current tax liability and [Working_Capital] in working capital.
✅ Perform a year-end revenue cutoff review to identify all advance payments
✅ Ensure deferred revenue tracking is properly configured in QuickBooks
✅ Consult your CPA to formally elect the one-year deferral method
📚 Source: IRC Section 451
⚠️ Disclaimer: This template is for informational purposes only. Tax laws are subject to change and individual circumstances vary. Please consult with a qualified tax professional to confirm eligibility and compliance for your specific entity.</t>
  </si>
  <si>
    <t>https://www.law.cornell.edu/uscode/text/26/451</t>
  </si>
  <si>
    <t>Section 280A requires exclusive, regular use for home office deductions via simplified or regular expense methods.</t>
  </si>
  <si>
    <t>Industries: [Professional Services, Software Development, E-commerce, Consulting, Freelance] | Entities: [S Corporations, Partnerships, Sole Proprietorships]</t>
  </si>
  <si>
    <t>Home Office Square Footage, Total Home Square Footage, Rent, Mortgage Interest, Property Taxes, Utilities (Electricity, Gas, Water), Home Insurance, Repairs and Maintenance, Home Office Expense Category, Transaction Date, Amount, Vendor, Business Percentage Allocation, Journal Entry (for owners draws/contributions)</t>
  </si>
  <si>
    <t>🚨 Important: Home Office Deduction Update for [Entity]
How this affects you::
Maximize your savings by choosing the best deduction method for your \[Square\_Footage\] sq. ft. home office. Based on your \[Home\_Office\_Expense\], you can compare the Simplified Method ($5/sq. ft. up to $1,500) against the Regular Method (actual expenses like rent and utilities). Using the \[Method\], your estimated [Deductible_Amount] can significantly lower your taxable income.
✅ Verify the home office space is used exclusively and regularly for your business
✅ Maintain accurate records of your total home and office square footage
✅ Review both calculation methods annually to ensure you select the highest deduction
📚 Source: IRC Section 280A
⚠️ Disclaimer: This template is for informational purposes only. Tax laws are subject to change and individual circumstances vary. Please consult with a qualified tax professional to confirm eligibility and compliance for your specific entity.</t>
  </si>
  <si>
    <t>IRC Section 280A improves after-tax net profit margins by allowing qualifying home-office costs to be deducted as business operating expenses, which reduces taxable income and lowers your overall tax liability.</t>
  </si>
  <si>
    <t>https://www.law.cornell.edu/uscode/text/26/280A</t>
  </si>
  <si>
    <t>Section 132 excludes specific employer-provided fringe benefits from an employee's gross income and payroll taxes.</t>
  </si>
  <si>
    <t>Industries: [Retail, Hospitality, Transportation, Professional Services, Healthcare] | Entities: [Corporations, Partnerships, Limited Liability Companies]</t>
  </si>
  <si>
    <t>Payroll Item List, Employee Profile (Additional Pay Types), Employee Profile (Deductions and Contributions), Chart of Accounts (Expense and Liability Accounts), Payroll Summary Report, Payroll Liability Report, General Ledger, Taxable Wage Audit Report</t>
  </si>
  <si>
    <t>🚨 Important: Fringe Benefit Tax Exclusion Update for [Entity]
How this affects you::
Based on your provided \[Benefit\_Type\] valued at \[Benefit\_Amount\], these benefits may be excluded from your employees' gross income. Under IRC Section 132, qualified fringe benefits—such as de minimis gifts, employee discounts, and transportation fringes—are not subject to federal income tax withholding or FICA taxes, reducing the overall tax burden for both the employer and employee.
✅ Review payroll records to identify all \[Benefit\_Type\] expenses provided to employees
✅ Verify that excluded benefits are correctly omitted from Form W-2 taxable wages
✅ Ensure all fringe benefit transactions are accurately tagged in QuickBooks for audit readiness
📚 Source: IRC Section 132
⚠️ Disclaimer: This template is for informational purposes only. Tax laws are subject to change and individual circumstances vary. Please consult with a qualified tax professional to confirm eligibility and compliance for your specific entity.</t>
  </si>
  <si>
    <t>IRC Section 132 improves your cash flow and lowers payroll tax ratios by exempting qualified fringe benefits from Social Security and Medicare taxes, reducing the total tax burden for both the company and its employees.</t>
  </si>
  <si>
    <t>https://www.law.cornell.edu/uscode/text/26/132</t>
  </si>
  <si>
    <t>IRC Section 162(m) limits publicly held corporations from deducting executive compensation exceeding $1 million per covered employee annually.</t>
  </si>
  <si>
    <t>Industries: [Technology, Finance, Healthcare, Energy, Consumer Discretionary] | Entities: [Publicly Held Corporations, C Corporations]</t>
  </si>
  <si>
    <t>Officer Compensation, Executive Salaries, Bonuses, Stock-based Compensation, Officer/Owner Distributions, Employee Benefits (Executive), Payroll Summary Report, General Ledger, W-2 Forms, Form 10-K (for public status verification)</t>
  </si>
  <si>
    <t>🚨 Important: Executive Compensation Deduction Update for [Entity]
How this affects you::
Under IRC Section 162(m), your annual federal tax deduction for compensation paid to \[Executive\_Name\] is capped at $1,000,000. Based on \[Total\_Comp\] in total remuneration, the [NonDeductible_Amount] exceeding this limit is non-deductible, resulting in a \[Tax\_Impact\] to your entity's effective tax rate. Note that since the Tax Cuts and Jobs Act, the previous exception for performance-based compensation has been repealed; all forms of pay, including performance-contingent bonuses and equity, now count toward the $1M threshold.
✅ Identify and track all 'covered employees,' including the CEO, CFO, and top three officers, under the 'once covered, always covered' rule
✅ Maintain detailed documentation of performance goals and payment terms to support financial statement reporting of permanent book-tax differences
✅ Coordinate with a CPA or tax advisor to review controlled group aggregation rules and potential 2027 expansions to the top five highest-paid employees
📚 Source: IRC Section 162(m)
⚠️ Disclaimer: This template is for informational purposes only. Tax laws are subject to change and individual circumstances vary. Please consult with a qualified tax professional to confirm eligibility and compliance for your specific entity.</t>
  </si>
  <si>
    <t>IRC Section 162(m) can increase your effective tax rate by disallowing deductions for executive compensation exceeding $1 million, effectively raising taxable income without reducing actual compensation costs.</t>
  </si>
  <si>
    <t>https://www.law.cornell.edu/uscode/text/26/162</t>
  </si>
  <si>
    <t>Section 409A regulates nonqualified deferred compensation timing; violations trigger immediate taxation and a 20% penalty.</t>
  </si>
  <si>
    <t>Industries: [Technology, Financial Services, Biotechnology, Healthcare, Manufacturing] | Entities: [Corporations, Partnerships, Tax-Exempt Organizations]</t>
  </si>
  <si>
    <t>Officer Compensation, Deferred Compensation Liability, Stock-based Compensation, Severance Pay, Accrued Bonuses, Payroll Item List, Employee Profile (Vesting and Distribution Dates), General Ledger (for non-qualified plan contributions)</t>
  </si>
  <si>
    <t>🚨 Urgent: Section 409A Compliance Alert for [Entity]
How this affects you::
IRC Section 409A strictly regulates the timing of nonqualified deferred compensation. Failure to comply with these rules triggers immediate taxation of your \[Deferral\_Amount\] in deferred pay, plus a mandatory 20% penalty—estimated at \[Penalty\_Risk\]—and accrued interest. To avoid these penalties, all deferral elections must generally be made by the end of the year preceding the service year, and distributions must be limited to specific events like \[Distribution\_Event\].
✅ Conduct a 409A valuation review by \[Valuation\_Date\] to ensure stock rights are not treated as deferred compensation
✅ Verify that all initial deferral elections were documented before the applicable year-end deadline
✅ Maintain strict documentation for all distribution events to prevent impermissible acceleration of benefits
📚 Source: IRC Section 409A
⚠️ Disclaimer: This template is for informational purposes only. Tax laws are subject to change and individual circumstances vary. Please consult with a qualified tax professional to confirm eligibility and compliance for your specific entity.</t>
  </si>
  <si>
    <t>IRC Section 409A requires strict adherence to distribution schedules for nonqualified deferred compensation, where violations trigger immediate taxation and a 20% penalty that accelerates tax liabilities and alters compensation timing ratios.</t>
  </si>
  <si>
    <t>https://www.law.cornell.edu/uscode/text/26/409A</t>
  </si>
  <si>
    <t>IRC Section 1202 allows non-corporate taxpayers to exclude up to 100% of capital gains from qualified small business stock.</t>
  </si>
  <si>
    <t>Industries: [Technology, Manufacturing, Biotechnology, Healthcare, Aerospace] | Entities: [C Corporations, Partnerships, S Corporations]</t>
  </si>
  <si>
    <t>Stock Issuance Records, Cap Table, Common Stock Ledger, Purchase Agreements, Capital Account, Equity Transactions, Original Issue Date, Consideration Paid (Cash/Property/Services), Aggregate Gross Assets (at and after issuance), Shareholder Entity Type, Holding Period Tracker, Form 1120 (C-Corp verification)</t>
  </si>
  <si>
    <t>🚨 Important: Qualified Small Business Stock (QSBS) Tax Exclusion for [Entity]
How this affects you::
Maximize your exit strategy by leveraging the IRC Section 1202 exclusion. For eligible stock, you can exclude up to 100% of capital gains from your gross income. Based on your \[Stock\_Basis\], your potential \[Exclusion\_Amount\] is capped at the greater of $10M ($15M for post-2025 issuances) or 10 times your initial basis, effectively reducing your federal tax rate on the sale to 0%.
✅ \[Eligibility\_Check\] Verify the entity is a domestic C-Corp and meets active business requirements
✅ \[Eligibility\_Check\] Confirm aggregate gross assets did not exceed $50M ($75M for post-2025 issuances) at issuance
✅ \[Holding\_Period\] Track your \[Holding\_Period\] to ensure it meets the 5-year requirement for a 100% exclusion
📚 Source: IRC Section 1202
⚠️ Disclaimer: This template is for informational purposes only. Tax laws are subject to change and individual circumstances vary. Please consult with a qualified tax professional to confirm eligibility and compliance for your specific entity.</t>
  </si>
  <si>
    <t>IRC Section 1202 significantly increases exit proceeds by allowing non-corporate shareholders to exclude up to 100% of capital gains from the sale of qualified small business stock, potentially reducing the effective tax rate on those gains to zero.</t>
  </si>
  <si>
    <t>https://www.law.cornell.edu/uscode/text/26/1202</t>
  </si>
  <si>
    <t>Export_Version</t>
  </si>
  <si>
    <t>Sync_Timestamp</t>
  </si>
  <si>
    <t>Affects_Industry</t>
  </si>
  <si>
    <t>Timestamp</t>
  </si>
  <si>
    <t>Action</t>
  </si>
  <si>
    <t>Version_Tag</t>
  </si>
  <si>
    <t>Sync_Status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</si>
</sst>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8">
    <font>
      <sz val="10.0"/>
      <color rgb="FF000000"/>
      <name val="Arial"/>
      <scheme val="minor"/>
    </font>
    <font>
      <color theme="1"/>
      <name val="Arial"/>
      <scheme val="minor"/>
    </font>
    <font>
      <sz val="12.0"/>
      <color rgb="FF333333"/>
      <name val="Verdana"/>
    </font>
    <font>
      <b/>
      <sz val="12.0"/>
      <color rgb="FF333333"/>
      <name val="Verdana"/>
    </font>
    <font>
      <sz val="12.0"/>
      <color rgb="FF333333"/>
      <name val="&quot;Open Sans&quot;"/>
    </font>
    <font>
      <b/>
      <color theme="1"/>
      <name val="Arial"/>
      <scheme val="minor"/>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vertical="top"/>
    </xf>
    <xf borderId="0" fillId="2" fontId="2" numFmtId="0" xfId="0" applyAlignment="1" applyFill="1" applyFont="1">
      <alignment horizontal="left" readingOrder="0"/>
    </xf>
    <xf borderId="0" fillId="2" fontId="3" numFmtId="0" xfId="0" applyAlignment="1" applyFont="1">
      <alignment horizontal="left" readingOrder="0"/>
    </xf>
    <xf borderId="0" fillId="2" fontId="2" numFmtId="0" xfId="0" applyAlignment="1" applyFont="1">
      <alignment horizontal="left"/>
    </xf>
    <xf borderId="0" fillId="2" fontId="3" numFmtId="0" xfId="0" applyAlignment="1" applyFont="1">
      <alignment horizontal="left"/>
    </xf>
    <xf borderId="0" fillId="2" fontId="4"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vertical="top"/>
    </xf>
    <xf borderId="0" fillId="0" fontId="1" numFmtId="0" xfId="0" applyAlignment="1" applyFont="1">
      <alignment shrinkToFit="0" wrapText="1"/>
    </xf>
    <xf borderId="0" fillId="0" fontId="5" numFmtId="0" xfId="0" applyAlignment="1" applyFont="1">
      <alignment vertical="top"/>
    </xf>
    <xf borderId="0" fillId="0" fontId="6" numFmtId="0" xfId="0" applyAlignment="1" applyFont="1">
      <alignment readingOrder="0" vertical="top"/>
    </xf>
    <xf borderId="0" fillId="0" fontId="1" numFmtId="164" xfId="0" applyAlignment="1" applyFont="1" applyNumberFormat="1">
      <alignment readingOrder="0" vertical="top"/>
    </xf>
    <xf borderId="0" fillId="0" fontId="7" numFmtId="0" xfId="0" applyAlignment="1" applyFont="1">
      <alignment vertical="top"/>
    </xf>
    <xf borderId="0" fillId="0" fontId="1" numFmtId="164" xfId="0" applyAlignment="1" applyFont="1" applyNumberFormat="1">
      <alignment vertical="top"/>
    </xf>
    <xf borderId="0" fillId="0" fontId="1" numFmtId="49" xfId="0" applyAlignment="1" applyFont="1" applyNumberFormat="1">
      <alignment vertical="top"/>
    </xf>
  </cellXfs>
  <cellStyles count="1">
    <cellStyle xfId="0" name="Normal" builtinId="0"/>
  </cellStyles>
  <dxfs count="2">
    <dxf>
      <font/>
      <fill>
        <patternFill patternType="solid">
          <fgColor rgb="FFEBFCF5"/>
          <bgColor rgb="FFEBFCF5"/>
        </patternFill>
      </fill>
      <border/>
    </dxf>
    <dxf>
      <font/>
      <fill>
        <patternFill patternType="solid">
          <fgColor rgb="FFFDF8C3"/>
          <bgColor rgb="FFFDF8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law.cornell.edu/uscode/text/26/451" TargetMode="External"/><Relationship Id="rId22" Type="http://schemas.openxmlformats.org/officeDocument/2006/relationships/hyperlink" Target="https://www.law.cornell.edu/uscode/text/26/280A" TargetMode="External"/><Relationship Id="rId21" Type="http://schemas.openxmlformats.org/officeDocument/2006/relationships/hyperlink" Target="https://www.law.cornell.edu/uscode/text/26/280A" TargetMode="External"/><Relationship Id="rId24" Type="http://schemas.openxmlformats.org/officeDocument/2006/relationships/hyperlink" Target="https://www.law.cornell.edu/uscode/text/26/132" TargetMode="External"/><Relationship Id="rId23" Type="http://schemas.openxmlformats.org/officeDocument/2006/relationships/hyperlink" Target="https://www.law.cornell.edu/uscode/text/26/132" TargetMode="External"/><Relationship Id="rId1" Type="http://schemas.openxmlformats.org/officeDocument/2006/relationships/hyperlink" Target="https://www.law.cornell.edu/uscode/text/26/168" TargetMode="External"/><Relationship Id="rId2" Type="http://schemas.openxmlformats.org/officeDocument/2006/relationships/hyperlink" Target="https://www.law.cornell.edu/uscode/text/26/168" TargetMode="External"/><Relationship Id="rId3" Type="http://schemas.openxmlformats.org/officeDocument/2006/relationships/hyperlink" Target="https://www.law.cornell.edu/uscode/text/26/179" TargetMode="External"/><Relationship Id="rId4" Type="http://schemas.openxmlformats.org/officeDocument/2006/relationships/hyperlink" Target="https://www.law.cornell.edu/uscode/text/26/179" TargetMode="External"/><Relationship Id="rId9" Type="http://schemas.openxmlformats.org/officeDocument/2006/relationships/hyperlink" Target="https://www.law.cornell.edu/uscode/text/26/199A" TargetMode="External"/><Relationship Id="rId26" Type="http://schemas.openxmlformats.org/officeDocument/2006/relationships/hyperlink" Target="https://www.law.cornell.edu/uscode/text/26/162" TargetMode="External"/><Relationship Id="rId25" Type="http://schemas.openxmlformats.org/officeDocument/2006/relationships/hyperlink" Target="https://www.law.cornell.edu/uscode/text/26/162" TargetMode="External"/><Relationship Id="rId28" Type="http://schemas.openxmlformats.org/officeDocument/2006/relationships/hyperlink" Target="https://www.law.cornell.edu/uscode/text/26/409A" TargetMode="External"/><Relationship Id="rId27" Type="http://schemas.openxmlformats.org/officeDocument/2006/relationships/hyperlink" Target="https://www.law.cornell.edu/uscode/text/26/409A" TargetMode="External"/><Relationship Id="rId5" Type="http://schemas.openxmlformats.org/officeDocument/2006/relationships/hyperlink" Target="https://www.law.cornell.edu/uscode/text/26/41" TargetMode="External"/><Relationship Id="rId6" Type="http://schemas.openxmlformats.org/officeDocument/2006/relationships/hyperlink" Target="https://www.law.cornell.edu/uscode/text/26/41" TargetMode="External"/><Relationship Id="rId29" Type="http://schemas.openxmlformats.org/officeDocument/2006/relationships/hyperlink" Target="https://www.law.cornell.edu/uscode/text/26/1202" TargetMode="External"/><Relationship Id="rId7" Type="http://schemas.openxmlformats.org/officeDocument/2006/relationships/hyperlink" Target="https://www.law.cornell.edu/uscode/text/26/3121" TargetMode="External"/><Relationship Id="rId8" Type="http://schemas.openxmlformats.org/officeDocument/2006/relationships/hyperlink" Target="https://www.law.cornell.edu/uscode/text/26/3121" TargetMode="External"/><Relationship Id="rId31" Type="http://schemas.openxmlformats.org/officeDocument/2006/relationships/drawing" Target="../drawings/drawing4.xml"/><Relationship Id="rId30" Type="http://schemas.openxmlformats.org/officeDocument/2006/relationships/hyperlink" Target="https://www.law.cornell.edu/uscode/text/26/1202" TargetMode="External"/><Relationship Id="rId11" Type="http://schemas.openxmlformats.org/officeDocument/2006/relationships/hyperlink" Target="https://www.law.cornell.edu/uscode/text/26/174" TargetMode="External"/><Relationship Id="rId10" Type="http://schemas.openxmlformats.org/officeDocument/2006/relationships/hyperlink" Target="https://www.law.cornell.edu/uscode/text/26/199A" TargetMode="External"/><Relationship Id="rId13" Type="http://schemas.openxmlformats.org/officeDocument/2006/relationships/hyperlink" Target="https://www.law.cornell.edu/uscode/text/26/263A" TargetMode="External"/><Relationship Id="rId12" Type="http://schemas.openxmlformats.org/officeDocument/2006/relationships/hyperlink" Target="https://www.law.cornell.edu/uscode/text/26/174" TargetMode="External"/><Relationship Id="rId15" Type="http://schemas.openxmlformats.org/officeDocument/2006/relationships/hyperlink" Target="https://www.law.cornell.edu/uscode/text/26/163" TargetMode="External"/><Relationship Id="rId14" Type="http://schemas.openxmlformats.org/officeDocument/2006/relationships/hyperlink" Target="https://www.law.cornell.edu/uscode/text/26/263A" TargetMode="External"/><Relationship Id="rId17" Type="http://schemas.openxmlformats.org/officeDocument/2006/relationships/hyperlink" Target="https://www.law.cornell.edu/uscode/text/26/274" TargetMode="External"/><Relationship Id="rId16" Type="http://schemas.openxmlformats.org/officeDocument/2006/relationships/hyperlink" Target="https://www.law.cornell.edu/uscode/text/26/163" TargetMode="External"/><Relationship Id="rId19" Type="http://schemas.openxmlformats.org/officeDocument/2006/relationships/hyperlink" Target="https://www.law.cornell.edu/uscode/text/26/451" TargetMode="External"/><Relationship Id="rId18" Type="http://schemas.openxmlformats.org/officeDocument/2006/relationships/hyperlink" Target="https://www.law.cornell.edu/uscode/text/26/27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9.13"/>
    <col customWidth="1" min="3" max="3" width="38.88"/>
    <col customWidth="1" min="4" max="4" width="29.38"/>
    <col customWidth="1" min="5" max="5" width="35.38"/>
    <col customWidth="1" min="6" max="6" width="43.63"/>
    <col customWidth="1" min="7" max="7" width="32.75"/>
  </cols>
  <sheetData>
    <row r="1">
      <c r="A1" s="1" t="s">
        <v>0</v>
      </c>
      <c r="B1" s="2" t="s">
        <v>1</v>
      </c>
      <c r="C1" s="2" t="s">
        <v>2</v>
      </c>
      <c r="D1" s="2" t="s">
        <v>3</v>
      </c>
      <c r="E1" s="2" t="s">
        <v>4</v>
      </c>
      <c r="F1" s="2" t="s">
        <v>5</v>
      </c>
      <c r="G1" s="2" t="s">
        <v>6</v>
      </c>
    </row>
    <row r="2">
      <c r="A2" s="1" t="s">
        <v>7</v>
      </c>
      <c r="B2" s="2" t="s">
        <v>8</v>
      </c>
      <c r="C2" s="3" t="str">
        <f>IFERROR(__xludf.DUMMYFUNCTION("GEMINI(""Summarize this IRC legal text in exactly 1 sentence for a non-tax professional. Keep it under 20 words. Text: ""&amp;B2)"),"Businesses can immediately deduct 100% of the cost of certain qualified property in the first year.")</f>
        <v>Businesses can immediately deduct 100% of the cost of certain qualified property in the first year.</v>
      </c>
      <c r="D2" s="3" t="str">
        <f>IFERROR(__xludf.DUMMYFUNCTION("GEMINI(""Based on this IRC rule, list 3-5 industries and 2-3 entity types this affects. Format as: Industries: [x,y,z] | Entities: [a,b,c]. Text: ""&amp;B2)"),"Industries: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E2" s="3" t="str">
        <f>IFERROR(__xludf.DUMMYFUNCTION("GEMINI(""What specific QuickBooks data fields must be checked to see if this IRC rule applies to a business? List them as comma-separated account names or report fields. Text: ""&amp;B2)"),"Fixed Asset Accounts, Purchase Date, Asset Description, Original Cost, Accumulated Depreciation, Section 179/Bonus Depreciation Election, Chart of Accounts (for business type and floor plan financing interest), Vehicle Log (for 280F compliance), Item List"&amp;" (for computer software or media productions)")</f>
        <v>Fixed Asset Accounts, Purchase Date, Asset Description, Original Cost, Accumulated Depreciation, Section 179/Bonus Depreciation Election, Chart of Accounts (for business type and floor plan financing interest), Vehicle Log (for 280F compliance), Item List (for computer software or media productions)</v>
      </c>
      <c r="F2" s="2" t="s">
        <v>9</v>
      </c>
      <c r="G2" s="3" t="str">
        <f>IFERROR(__xludf.DUMMYFUNCTION("GEMINI(""Explain in 1 sentence how §168 impacts ratios like Effective Tax Rate or R&amp;D Intensity. For a non-accountant CFO. Text: ""&amp;B2)"),"IRC Section 168 provides an immediate 100% bonus depreciation deduction for qualified property, which lowers your taxable income and can significantly reduce your effective tax rate in the year assets are placed in service.")</f>
        <v>IRC Section 168 provides an immediate 100% bonus depreciation deduction for qualified property, which lowers your taxable income and can significantly reduce your effective tax rate in the year assets are placed in service.</v>
      </c>
    </row>
    <row r="3">
      <c r="A3" s="1" t="s">
        <v>10</v>
      </c>
      <c r="B3" s="2" t="s">
        <v>11</v>
      </c>
      <c r="C3" s="3" t="str">
        <f>IFERROR(__xludf.DUMMYFUNCTION("GEMINI(""Summarize IRC §41 in exactly 1 sentence under 20 words. Focus on who qualifies and the credit value. Text: ""&amp;B3)"),"Businesses can immediately deduct the full cost of qualifying equipment and software instead of depreciating it over time.")</f>
        <v>Businesses can immediately deduct the full cost of qualifying equipment and software instead of depreciating it over time.</v>
      </c>
      <c r="D3" s="3" t="str">
        <f>IFERROR(__xludf.DUMMYFUNCTION("GEMINI(""List 3-5 industries and 2-3 entity types most affected. Format exactly: Industries: [x,y,z] | Entities: [a,b,c]. Text: ""&amp;B3)"),"Industries: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E3" s="3" t="str">
        <f>IFERROR(__xludf.DUMMYFUNCTION("GEMINI(""What QuickBooks data fields check if §41 applies? List comma-separated account names or report fields. Text: ""&amp;B3)"),"Fixed Asset Accounts, Purchase Date, Asset Description, Original Cost, Accumulated Depreciation, Section 179/Bonus Depreciation Election, Chart of Accounts (for business type and floor plan financing interest), Vehicle Log (for 280F compliance), Item List"&amp;" (for computer software or media productions)")</f>
        <v>Fixed Asset Accounts, Purchase Date, Asset Description, Original Cost, Accumulated Depreciation, Section 179/Bonus Depreciation Election, Chart of Accounts (for business type and floor plan financing interest), Vehicle Log (for 280F compliance), Item List (for computer software or media productions)</v>
      </c>
      <c r="F3" s="2" t="s">
        <v>12</v>
      </c>
      <c r="G3" s="3" t="str">
        <f>IFERROR(__xludf.DUMMYFUNCTION("GEMINI(""Explain in 1 sentence how §179 impacts ratios like Effective Tax Rate or R&amp;D Intensity. For a non-accountant CFO. Text: ""&amp;B3)"),"IRC Section 179 provides an immediate deduction for equipment and software costs, which lowers taxable income and reduces your effective tax rate in the year these assets are placed in service.")</f>
        <v>IRC Section 179 provides an immediate deduction for equipment and software costs, which lowers taxable income and reduces your effective tax rate in the year these assets are placed in service.</v>
      </c>
    </row>
    <row r="4">
      <c r="A4" s="1" t="s">
        <v>13</v>
      </c>
      <c r="B4" s="2" t="s">
        <v>14</v>
      </c>
      <c r="C4" s="3" t="str">
        <f>IFERROR(__xludf.DUMMYFUNCTION("GEMINI(""Summarize IRC §41 in exactly 1 sentence under 20 words. Focus on who qualifies and the credit value. Text: ""&amp;B4)"),"Businesses and startups qualify for a tax credit worth 14% to 20% of qualified research expenses.")</f>
        <v>Businesses and startups qualify for a tax credit worth 14% to 20% of qualified research expenses.</v>
      </c>
      <c r="D4" s="3" t="str">
        <f>IFERROR(__xludf.DUMMYFUNCTION("GEMINI(""List 3-5 industries and 2-3 entity types most affected. Format exactly: Industries: [x,y,z] | Entities: [a,b,c]. Text: ""&amp;B4)"),"Industries: [Technology, Life Sciences, Manufacturing, Biotechnology, Aerospace] | Entities: [Corporations, Partnerships, Limited Liability Companies]")</f>
        <v>Industries: [Technology, Life Sciences, Manufacturing, Biotechnology, Aerospace] | Entities: [Corporations, Partnerships, Limited Liability Companies]</v>
      </c>
      <c r="E4" s="3" t="str">
        <f>IFERROR(__xludf.DUMMYFUNCTION("GEMINI(""What QuickBooks data fields check if §41 applies? List comma-separated account names or report fields. Text: ""&amp;B4)"),"Payroll Expenses (Wages), Supplies Expense, Contractor/Consultant Fees, R&amp;D Expense (Class/Account), Employee Time Tracking/Timesheets, Project Name, Project Description, Purchase Orders, Vendor Invoices, Form 941 (Payroll Tax), Gross Receipts (Sales)")</f>
        <v>Payroll Expenses (Wages), Supplies Expense, Contractor/Consultant Fees, R&amp;D Expense (Class/Account), Employee Time Tracking/Timesheets, Project Name, Project Description, Purchase Orders, Vendor Invoices, Form 941 (Payroll Tax), Gross Receipts (Sales)</v>
      </c>
      <c r="F4" s="2" t="s">
        <v>15</v>
      </c>
      <c r="G4" s="3" t="str">
        <f>IFERROR(__xludf.DUMMYFUNCTION("GEMINI(""Explain in 1 sentence how §41 impacts ratios like Effective Tax Rate or R&amp;D Intensity. For a non-accountant CFO. Text: ""&amp;B4)"),"IRC Section 41 provides a dollar-for-dollar credit that directly reduces your effective tax rate while incentivizing a higher R&amp;D intensity by lowering the after-tax cost of innovation.")</f>
        <v>IRC Section 41 provides a dollar-for-dollar credit that directly reduces your effective tax rate while incentivizing a higher R&amp;D intensity by lowering the after-tax cost of innovation.</v>
      </c>
    </row>
    <row r="5">
      <c r="A5" s="1" t="s">
        <v>16</v>
      </c>
      <c r="B5" s="2" t="s">
        <v>17</v>
      </c>
      <c r="C5" s="2" t="str">
        <f>IFERROR(__xludf.DUMMYFUNCTION("GEMINI(""Summarize IRC §3121 in exactly 1 sentence under 20 words. Focus on the FICA wage base limit and who it affects. Text: ""&amp;B5)"),"IRC §3121 limits FICA taxes to the first $184,500 of an employee's wages in 2026.")</f>
        <v>IRC §3121 limits FICA taxes to the first $184,500 of an employee's wages in 2026.</v>
      </c>
      <c r="D5" s="2" t="str">
        <f>IFERROR(__xludf.DUMMYFUNCTION("GEMINI(""List 3-5 industries and 2-3 entity types most affected. Format exactly: Industries: [x,y,z] | Entities: [a,b,c]. Text: ""&amp;B5)"),"Industries: [Technology, Professional Services, Finance, Healthcare, Manufacturing] | Entities: [Corporations, Limited Liability Companies, Partnerships]")</f>
        <v>Industries: [Technology, Professional Services, Finance, Healthcare, Manufacturing] | Entities: [Corporations, Limited Liability Companies, Partnerships]</v>
      </c>
      <c r="E5" s="2" t="str">
        <f>IFERROR(__xludf.DUMMYFUNCTION("GEMINI(""What QuickBooks data fields check if §3121 applies? List comma-separated payroll fields or reports. Text: ""&amp;B5)"),"Payroll Expenses: Wages, Payroll Expenses: Taxes, Payroll Liabilities: Federal Taxes (941/944), Employee Profile (Tax Withholding), Payroll Item List, Payroll Summary Report, Payroll Tax and Wage Summary Report, Taxable Wage Audit Report, W-2 Forms")</f>
        <v>Payroll Expenses: Wages, Payroll Expenses: Taxes, Payroll Liabilities: Federal Taxes (941/944), Employee Profile (Tax Withholding), Payroll Item List, Payroll Summary Report, Payroll Tax and Wage Summary Report, Taxable Wage Audit Report, W-2 Forms</v>
      </c>
      <c r="F5" s="2" t="s">
        <v>18</v>
      </c>
      <c r="G5" s="2" t="str">
        <f>IFERROR(__xludf.DUMMYFUNCTION("GEMINI(""Explain in 1 sentence how §3121 impacts cash flow or payroll tax ratios. For a non-accountant CFO. Text: ""&amp;B5)"),"IRC Section 3121 improves cash flow and lowers your effective payroll tax ratio by exempting employee wages above $184,500 from the 6.2% Social Security tax.")</f>
        <v>IRC Section 3121 improves cash flow and lowers your effective payroll tax ratio by exempting employee wages above $184,500 from the 6.2% Social Security tax.</v>
      </c>
    </row>
    <row r="6">
      <c r="A6" s="4"/>
      <c r="B6" s="2" t="s">
        <v>19</v>
      </c>
      <c r="C6" s="3"/>
      <c r="D6" s="3"/>
      <c r="E6" s="3"/>
      <c r="F6" s="3"/>
      <c r="G6" s="3"/>
    </row>
    <row r="7">
      <c r="A7" s="1" t="s">
        <v>20</v>
      </c>
      <c r="B7" s="2" t="s">
        <v>21</v>
      </c>
      <c r="C7" s="3" t="str">
        <f>IFERROR(__xludf.DUMMYFUNCTION("GEMINI(""Summarize IRC §199A in exactly 1 sentence under 20 words. Focus on the 20% QBI deduction and who qualifies. Text: ""&amp;B7)"),"Eligible pass-through business owners can deduct up to 20% of their qualified business income from their taxable income.")</f>
        <v>Eligible pass-through business owners can deduct up to 20% of their qualified business income from their taxable income.</v>
      </c>
      <c r="D7" s="3" t="str">
        <f>IFERROR(__xludf.DUMMYFUNCTION("GEMINI(""List 3-5 industries and 2-3 entity types most affected. Format exactly: Industries: [x,y,z] | Entities: [a,b,c]. Text: ""&amp;B7)"),"Industries: [Agriculture, Manufacturing, Real Estate, Professional Services, Retail] | Entities: [S Corporations, Partnerships, Sole Proprietorships]")</f>
        <v>Industries: [Agriculture, Manufacturing, Real Estate, Professional Services, Retail] | Entities: [S Corporations, Partnerships, Sole Proprietorships]</v>
      </c>
      <c r="E7" s="3" t="str">
        <f>IFERROR(__xludf.DUMMYFUNCTION("GEMINI(""What QuickBooks data fields check if §199A applies? List comma-separated accounts: net income, W-2 wages, qualified property. Text: ""&amp;B7)"),"Net Income, W-2 Wages, Qualified Property (UBIA), Fixed Asset Accounts, Partner/Shareholder Distributions, Chart of Accounts (Entity Type), Cost of Goods Sold, Business Expenses")</f>
        <v>Net Income, W-2 Wages, Qualified Property (UBIA), Fixed Asset Accounts, Partner/Shareholder Distributions, Chart of Accounts (Entity Type), Cost of Goods Sold, Business Expenses</v>
      </c>
      <c r="F7" s="2" t="s">
        <v>22</v>
      </c>
      <c r="G7" s="3" t="str">
        <f>IFERROR(__xludf.DUMMYFUNCTION("GEMINI(""Explain in 1 sentence how §199A impacts Effective Tax Rate or Owner Equity ratios. For a non-accountant CFO. Text: ""&amp;B7)"),"IRC Section 199A provides a deduction of up to 20% of qualified business income for pass-through entities, which effectively lowers your business's tax rate and increases retained owner equity.")</f>
        <v>IRC Section 199A provides a deduction of up to 20% of qualified business income for pass-through entities, which effectively lowers your business's tax rate and increases retained owner equity.</v>
      </c>
    </row>
    <row r="8">
      <c r="A8" s="1" t="s">
        <v>23</v>
      </c>
      <c r="B8" s="2" t="s">
        <v>24</v>
      </c>
      <c r="C8" s="3" t="str">
        <f>IFERROR(__xludf.DUMMYFUNCTION("GEMINI(""Summarize IRC §174 in exactly 1 sentence under 20 words. Focus on the amortization of research and experimental expenditures. Text: ""&amp;B8)"),"Foreign research and experimental expenditures must be capitalized and amortized over a 15-year period.")</f>
        <v>Foreign research and experimental expenditures must be capitalized and amortized over a 15-year period.</v>
      </c>
      <c r="D8" s="3" t="str">
        <f>IFERROR(__xludf.DUMMYFUNCTION("GEMINI(""List 3-5 industries and 2-3 entity types most affected. Format exactly: Industries: [x,y,z] | Entities: [a,b,c]. Text: ""&amp;B8)"),"Industries: [Biotechnology, Software Development, Pharmaceuticals, Technology, Manufacturing] | Entities: [Corporations, Partnerships, Limited Liability Companies]")</f>
        <v>Industries: [Biotechnology, Software Development, Pharmaceuticals, Technology, Manufacturing] | Entities: [Corporations, Partnerships, Limited Liability Companies]</v>
      </c>
      <c r="E8" s="3" t="str">
        <f>IFERROR(__xludf.DUMMYFUNCTION("GEMINI(""What QuickBooks data fields check if §174 applies? List comma-separated fields or reports. Text: ""&amp;B8)"),"Payroll Expenses, Contractor/Consultant Fees, Supplies Expense, Software Development Costs, R&amp;D Asset Account, Accumulated Amortization, Amortization Expense, Chart of Accounts, General Ledger Report, Project/Job Profitability Reports")</f>
        <v>Payroll Expenses, Contractor/Consultant Fees, Supplies Expense, Software Development Costs, R&amp;D Asset Account, Accumulated Amortization, Amortization Expense, Chart of Accounts, General Ledger Report, Project/Job Profitability Reports</v>
      </c>
      <c r="F8" s="2" t="s">
        <v>25</v>
      </c>
      <c r="G8" s="3" t="str">
        <f>IFERROR(__xludf.DUMMYFUNCTION("GEMINI(""Explain in 1 sentence how §174 impacts cash flow or tax ratios. For a non-accountant CFO. Text: ""&amp;B8)"),"IRC Section 174 requires foreign research and software development costs to be capitalized and amortized over 15 years, which reduces immediate tax deductions and negatively impacts short-term cash flow compared to full expensing.")</f>
        <v>IRC Section 174 requires foreign research and software development costs to be capitalized and amortized over 15 years, which reduces immediate tax deductions and negatively impacts short-term cash flow compared to full expensing.</v>
      </c>
    </row>
    <row r="9">
      <c r="A9" s="1" t="s">
        <v>26</v>
      </c>
      <c r="B9" s="2" t="s">
        <v>27</v>
      </c>
      <c r="C9" s="3" t="str">
        <f>IFERROR(__xludf.DUMMYFUNCTION("GEMINI(""Summarize IRC §263A in exactly 1 sentence under 20 words. Focus on UNICAP and who it affects. Text: ""&amp;B9)"),"UNICAP requires businesses that produce or acquire property for resale to capitalize direct and certain indirect costs.")</f>
        <v>UNICAP requires businesses that produce or acquire property for resale to capitalize direct and certain indirect costs.</v>
      </c>
      <c r="D9" s="3" t="str">
        <f>IFERROR(__xludf.DUMMYFUNCTION("GEMINI(""List 3-5 industries and 2-3 entity types most affected. Format exactly: Industries: [x,y,z] | Entities: [a,b,c]. Text: ""&amp;B9)"),"Industries: [Manufacturing, Wholesale Trade, Retail Trade, Agriculture, Construction] | Entities: [Corporations, Partnerships, Limited Liability Companies]")</f>
        <v>Industries: [Manufacturing, Wholesale Trade, Retail Trade, Agriculture, Construction] | Entities: [Corporations, Partnerships, Limited Liability Companies]</v>
      </c>
      <c r="E9" s="3" t="str">
        <f>IFERROR(__xludf.DUMMYFUNCTION("GEMINI(""What QuickBooks data fields check if §263A applies? List comma-separated fields or reports. Text: ""&amp;B9)"),"Cost of Goods Sold, Inventory Asset Accounts, Raw Materials, Work-in-Process, Finished Goods, Direct Labor, Manufacturing Overhead, Purchase Orders, Vendor Invoices, Gross Receipts, Indirect Production Costs (Rent, Utilities, Storage)")</f>
        <v>Cost of Goods Sold, Inventory Asset Accounts, Raw Materials, Work-in-Process, Finished Goods, Direct Labor, Manufacturing Overhead, Purchase Orders, Vendor Invoices, Gross Receipts, Indirect Production Costs (Rent, Utilities, Storage)</v>
      </c>
      <c r="F9" s="2" t="s">
        <v>28</v>
      </c>
      <c r="G9" s="3" t="str">
        <f>IFERROR(__xludf.DUMMYFUNCTION("GEMINI(""Explain in 1 sentence how §263A impacts cash flow or tax liability. For a non-accountant CFO. Text: ""&amp;B9)"),"IRC Section 263A requires direct and indirect costs to be capitalized rather than expensed, which can increase your taxable income and defer deductions until inventory is sold.")</f>
        <v>IRC Section 263A requires direct and indirect costs to be capitalized rather than expensed, which can increase your taxable income and defer deductions until inventory is sold.</v>
      </c>
    </row>
    <row r="10">
      <c r="A10" s="1" t="s">
        <v>29</v>
      </c>
      <c r="B10" s="2" t="s">
        <v>30</v>
      </c>
      <c r="C10" s="3" t="str">
        <f>IFERROR(__xludf.DUMMYFUNCTION("GEMINI(""Summarize IRC §163(j) in exactly 1 sentence under 20 words. Focus on the 30% EBITDA interest deduction limit. Text: ""&amp;B10)"),"IRC Section 163(j) limits business interest deductions to 30% of adjusted taxable income plus business interest income.")</f>
        <v>IRC Section 163(j) limits business interest deductions to 30% of adjusted taxable income plus business interest income.</v>
      </c>
      <c r="D10" s="3" t="str">
        <f>IFERROR(__xludf.DUMMYFUNCTION("GEMINI(""List 3-5 industries and 2-3 entity types most affected. Format exactly: Industries: [x,y,z] | Entities: [a,b,c]. Text: ""&amp;B10)"),"Industries: [Automotive, Agriculture, Real Estate, Manufacturing, Finance] | Entities: [Corporations, Partnerships, S Corporations]")</f>
        <v>Industries: [Automotive, Agriculture, Real Estate, Manufacturing, Finance] | Entities: [Corporations, Partnerships, S Corporations]</v>
      </c>
      <c r="E10" s="3" t="str">
        <f>IFERROR(__xludf.DUMMYFUNCTION("GEMINI(""What QuickBooks data fields check if §163(j) applies? List comma-separated interest expense, loan balance, or EBITDA fields. Text: ""&amp;B10)"),"Interest Expense, Interest Income, Floor Plan Financing Interest, Gross Receipts (for 3-year average test), Net Income (Profit &amp; Loss), Depreciation, Amortization, Depletion, Net Operating Loss (NOL), Section 199A Deduction, Interest Capitalized to Assets"&amp;", Loan Balance/Debt Liabilities, EBITDA/ATI Adjustments")</f>
        <v>Interest Expense, Interest Income, Floor Plan Financing Interest, Gross Receipts (for 3-year average test), Net Income (Profit &amp; Loss), Depreciation, Amortization, Depletion, Net Operating Loss (NOL), Section 199A Deduction, Interest Capitalized to Assets, Loan Balance/Debt Liabilities, EBITDA/ATI Adjustments</v>
      </c>
      <c r="F10" s="2" t="s">
        <v>31</v>
      </c>
      <c r="G10" s="3" t="str">
        <f>IFERROR(__xludf.DUMMYFUNCTION("GEMINI(""Explain in 1 sentence how §163(j) impacts Interest Coverage or Debt-to-EBITDA ratios. For a non-accountant CFO. Text: ""&amp;B10)"),"IRC Section 163(j) limits the tax deductibility of interest to 30% of adjusted taxable income, which can lower your interest coverage ratio and increase your after-tax debt-to-EBITDA costs by reducing the cash flow benefit of debt.")</f>
        <v>IRC Section 163(j) limits the tax deductibility of interest to 30% of adjusted taxable income, which can lower your interest coverage ratio and increase your after-tax debt-to-EBITDA costs by reducing the cash flow benefit of debt.</v>
      </c>
    </row>
    <row r="11">
      <c r="A11" s="1" t="s">
        <v>32</v>
      </c>
      <c r="B11" s="2" t="s">
        <v>33</v>
      </c>
      <c r="C11" s="3" t="str">
        <f>IFERROR(__xludf.DUMMYFUNCTION("GEMINI(""Summarize IRC §274 in exactly 1 sentence under 20 words. Focus on 50% meal limit and entertainment nondeductibility. Text: ""&amp;B11)"),"IRC Section 274 generally disallows deductions for entertainment expenses while limiting business meal deductions to 50 percent.")</f>
        <v>IRC Section 274 generally disallows deductions for entertainment expenses while limiting business meal deductions to 50 percent.</v>
      </c>
      <c r="D11" s="3" t="str">
        <f>IFERROR(__xludf.DUMMYFUNCTION("GEMINI(""List 3-5 industries and 2-3 entity types most affected. Format exactly: Industries: [x,y,z] | Entities: [a,b,c]. Text: ""&amp;B11)"),"Industries: [Hospitality, Travel, Entertainment, Food and Beverage, Professional Services] | Entities: [Corporations, Partnerships, Limited Liability Companies, Sole Proprietorships]")</f>
        <v>Industries: [Hospitality, Travel, Entertainment, Food and Beverage, Professional Services] | Entities: [Corporations, Partnerships, Limited Liability Companies, Sole Proprietorships]</v>
      </c>
      <c r="E11" s="3" t="str">
        <f>IFERROR(__xludf.DUMMYFUNCTION("GEMINI(""What QuickBooks data fields check if §274 applies? List comma-separated meal, travel, entertainment expense accounts. Text: ""&amp;B11)"),"Travel Expense, Meals Expense, Entertainment Expense, Gifts, Automobile Expense, Lodging, Transportation, Chart of Accounts, General Ledger, Vendor Invoices, Receipts, Expense Reports")</f>
        <v>Travel Expense, Meals Expense, Entertainment Expense, Gifts, Automobile Expense, Lodging, Transportation, Chart of Accounts, General Ledger, Vendor Invoices, Receipts, Expense Reports</v>
      </c>
      <c r="F11" s="2" t="s">
        <v>34</v>
      </c>
      <c r="G11" s="3" t="str">
        <f>IFERROR(__xludf.DUMMYFUNCTION("GEMINI(""Explain in 1 sentence how §274 impacts Operating Expense or Effective Tax Rate ratios. For a non-accountant CFO. Text: ""&amp;B11)"),"IRC Section 274 increases your effective tax rate by disallowing deductions for entertainment and limiting business meal deductions, thereby raising taxable income without increasing cash flow.")</f>
        <v>IRC Section 274 increases your effective tax rate by disallowing deductions for entertainment and limiting business meal deductions, thereby raising taxable income without increasing cash flow.</v>
      </c>
    </row>
    <row r="12">
      <c r="A12" s="1" t="s">
        <v>35</v>
      </c>
      <c r="B12" s="2" t="s">
        <v>36</v>
      </c>
      <c r="C12" s="2" t="s">
        <v>37</v>
      </c>
      <c r="D12" s="2" t="s">
        <v>38</v>
      </c>
      <c r="E12" s="2" t="s">
        <v>39</v>
      </c>
      <c r="F12" s="2" t="s">
        <v>40</v>
      </c>
      <c r="G12" s="2" t="s">
        <v>41</v>
      </c>
    </row>
    <row r="13">
      <c r="A13" s="1" t="s">
        <v>42</v>
      </c>
      <c r="B13" s="2" t="s">
        <v>43</v>
      </c>
      <c r="C13" s="3" t="str">
        <f>IFERROR(__xludf.DUMMYFUNCTION("GEMINI(""Summarize IRC §280A in exactly 1 sentence under 20 words. Focus on exclusive/regular use test and simplified vs. regular method. Text: ""&amp;B13)"),"Section 280A requires exclusive, regular use for home office deductions via simplified or regular expense methods.")</f>
        <v>Section 280A requires exclusive, regular use for home office deductions via simplified or regular expense methods.</v>
      </c>
      <c r="D13" s="3" t="str">
        <f>IFERROR(__xludf.DUMMYFUNCTION("GEMINI(""List 3-5 industries and 2-3 entity types most affected. Format exactly: Industries: [x,y,z] | Entities: [a,b,c]. Text: ""&amp;B13)"),"Industries: [Professional Services, Software Development, E-commerce, Consulting, Freelance] | Entities: [S Corporations, Partnerships, Sole Proprietorships]")</f>
        <v>Industries: [Professional Services, Software Development, E-commerce, Consulting, Freelance] | Entities: [S Corporations, Partnerships, Sole Proprietorships]</v>
      </c>
      <c r="E13" s="3" t="str">
        <f>IFERROR(__xludf.DUMMYFUNCTION("GEMINI(""What QuickBooks data fields check if §280A applies? List comma-separated home office expense, square footage, or utility allocation fields. Text: ""&amp;B13)"),"Home Office Square Footage, Total Home Square Footage, Rent, Mortgage Interest, Property Taxes, Utilities (Electricity, Gas, Water), Home Insurance, Repairs and Maintenance, Home Office Expense Category, Transaction Date, Amount, Vendor, Business Percenta"&amp;"ge Allocation, Journal Entry (for owners draws/contributions)")</f>
        <v>Home Office Square Footage, Total Home Square Footage, Rent, Mortgage Interest, Property Taxes, Utilities (Electricity, Gas, Water), Home Insurance, Repairs and Maintenance, Home Office Expense Category, Transaction Date, Amount, Vendor, Business Percentage Allocation, Journal Entry (for owners draws/contributions)</v>
      </c>
      <c r="F13" s="2" t="s">
        <v>44</v>
      </c>
      <c r="G13" s="3" t="str">
        <f>IFERROR(__xludf.DUMMYFUNCTION("GEMINI(""Explain in 1 sentence how §280A impacts Operating Expense or Net Profit Margin ratios. For a non-accountant CFO. Text: ""&amp;B13)"),"IRC Section 280A improves after-tax net profit margins by allowing qualifying home-office costs to be deducted as business operating expenses, which reduces taxable income and lowers your overall tax liability.")</f>
        <v>IRC Section 280A improves after-tax net profit margins by allowing qualifying home-office costs to be deducted as business operating expenses, which reduces taxable income and lowers your overall tax liability.</v>
      </c>
    </row>
    <row r="14">
      <c r="A14" s="1" t="s">
        <v>45</v>
      </c>
      <c r="B14" s="2" t="s">
        <v>46</v>
      </c>
      <c r="C14" s="3" t="str">
        <f>IFERROR(__xludf.DUMMYFUNCTION("GEMINI(""Summarize IRC §132 in exactly 1 sentence under 20 words. Focus on the exclusion of certain fringe benefits from gross income. Text: ""&amp;B14)"),"Section 132 excludes specific employer-provided fringe benefits from an employee's gross income and payroll taxes.")</f>
        <v>Section 132 excludes specific employer-provided fringe benefits from an employee's gross income and payroll taxes.</v>
      </c>
      <c r="D14" s="3" t="str">
        <f>IFERROR(__xludf.DUMMYFUNCTION("GEMINI(""List 3-5 industries and 2-3 entity types most affected. Format exactly: Industries: [x,y,z] | Entities: [a,b,c]. Text: ""&amp;B14)"),"Industries: [Retail, Hospitality, Transportation, Professional Services, Healthcare] | Entities: [Corporations, Partnerships, Limited Liability Companies]")</f>
        <v>Industries: [Retail, Hospitality, Transportation, Professional Services, Healthcare] | Entities: [Corporations, Partnerships, Limited Liability Companies]</v>
      </c>
      <c r="E14" s="3" t="str">
        <f>IFERROR(__xludf.DUMMYFUNCTION("GEMINI(""What QuickBooks data fields check if §132 applies? List comma-separated payroll fields, expense accounts, or reports. Text: ""&amp;B14)"),"Payroll Item List, Employee Profile (Additional Pay Types), Employee Profile (Deductions and Contributions), Chart of Accounts (Expense and Liability Accounts), Payroll Summary Report, Payroll Liability Report, General Ledger, Taxable Wage Audit Report")</f>
        <v>Payroll Item List, Employee Profile (Additional Pay Types), Employee Profile (Deductions and Contributions), Chart of Accounts (Expense and Liability Accounts), Payroll Summary Report, Payroll Liability Report, General Ledger, Taxable Wage Audit Report</v>
      </c>
      <c r="F14" s="2" t="s">
        <v>47</v>
      </c>
      <c r="G14" s="3" t="str">
        <f>IFERROR(__xludf.DUMMYFUNCTION("GEMINI(""Explain in 1 sentence how §132 impacts cash flow or payroll tax ratios. For a non-accountant CFO. Text: ""&amp;B14)"),"IRC Section 132 improves your cash flow and lowers payroll tax ratios by exempting qualified fringe benefits from Social Security and Medicare taxes, reducing the total tax burden for both the company and its employees.")</f>
        <v>IRC Section 132 improves your cash flow and lowers payroll tax ratios by exempting qualified fringe benefits from Social Security and Medicare taxes, reducing the total tax burden for both the company and its employees.</v>
      </c>
    </row>
    <row r="15">
      <c r="A15" s="1" t="s">
        <v>48</v>
      </c>
      <c r="B15" s="2" t="s">
        <v>49</v>
      </c>
      <c r="C15" s="3" t="str">
        <f>IFERROR(__xludf.DUMMYFUNCTION("GEMINI(""Summarize IRC §162(m) in exactly 1 sentence under 20 words. Focus on the $1M executive comp deduction limit. Text: ""&amp;B15)"),"IRC Section 162(m) limits publicly held corporations from deducting executive compensation exceeding $1 million per covered employee annually.")</f>
        <v>IRC Section 162(m) limits publicly held corporations from deducting executive compensation exceeding $1 million per covered employee annually.</v>
      </c>
      <c r="D15" s="3" t="str">
        <f>IFERROR(__xludf.DUMMYFUNCTION("GEMINI(""List 3-5 industries and 2-3 entity types most affected. Format exactly: Industries: [x,y,z] | Entities: [a,b,c]. Text: ""&amp;B15)"),"Industries: [Technology, Finance, Healthcare, Energy, Consumer Discretionary] | Entities: [Publicly Held Corporations, C Corporations]")</f>
        <v>Industries: [Technology, Finance, Healthcare, Energy, Consumer Discretionary] | Entities: [Publicly Held Corporations, C Corporations]</v>
      </c>
      <c r="E15" s="3" t="str">
        <f>IFERROR(__xludf.DUMMYFUNCTION("GEMINI(""What QuickBooks data fields check if §162(m) applies? List comma-separated executive compensation, bonus, or stock-based comp accounts. Text: ""&amp;B15)"),"Officer Compensation, Executive Salaries, Bonuses, Stock-based Compensation, Officer/Owner Distributions, Employee Benefits (Executive), Payroll Summary Report, General Ledger, W-2 Forms, Form 10-K (for public status verification)")</f>
        <v>Officer Compensation, Executive Salaries, Bonuses, Stock-based Compensation, Officer/Owner Distributions, Employee Benefits (Executive), Payroll Summary Report, General Ledger, W-2 Forms, Form 10-K (for public status verification)</v>
      </c>
      <c r="F15" s="2" t="s">
        <v>50</v>
      </c>
      <c r="G15" s="3" t="str">
        <f>IFERROR(__xludf.DUMMYFUNCTION("GEMINI(""Explain in 1 sentence how §162(m) impacts Effective Tax Rate or Compensation Ratio. For a non-accountant CFO. Text: ""&amp;B15)"),"IRC Section 162(m) can increase your effective tax rate by disallowing deductions for executive compensation exceeding $1 million, effectively raising taxable income without reducing actual compensation costs.")</f>
        <v>IRC Section 162(m) can increase your effective tax rate by disallowing deductions for executive compensation exceeding $1 million, effectively raising taxable income without reducing actual compensation costs.</v>
      </c>
    </row>
    <row r="16">
      <c r="A16" s="1" t="s">
        <v>51</v>
      </c>
      <c r="B16" s="2" t="s">
        <v>52</v>
      </c>
      <c r="C16" s="3" t="str">
        <f>IFERROR(__xludf.DUMMYFUNCTION("GEMINI(""Summarize IRC §409A in exactly 1 sentence under 20 words. Focus on deferred comp timing rules and penalty risk. Text: ""&amp;B16)"),"Section 409A regulates nonqualified deferred compensation timing; violations trigger immediate taxation and a 20% penalty.")</f>
        <v>Section 409A regulates nonqualified deferred compensation timing; violations trigger immediate taxation and a 20% penalty.</v>
      </c>
      <c r="D16" s="3" t="str">
        <f>IFERROR(__xludf.DUMMYFUNCTION("GEMINI(""List 3-5 industries and 2-3 entity types most affected. Format exactly: Industries: [x,y,z] | Entities: [a,b,c]. Text: ""&amp;B16)"),"Industries: [Technology, Financial Services, Biotechnology, Healthcare, Manufacturing] | Entities: [Corporations, Partnerships, Tax-Exempt Organizations]")</f>
        <v>Industries: [Technology, Financial Services, Biotechnology, Healthcare, Manufacturing] | Entities: [Corporations, Partnerships, Tax-Exempt Organizations]</v>
      </c>
      <c r="E16" s="3" t="str">
        <f>IFERROR(__xludf.DUMMYFUNCTION("GEMINI(""What QuickBooks data fields check if §409A applies? List comma-separated stock comp, deferred comp, or severance accounts. Text: ""&amp;B16)"),"Officer Compensation, Deferred Compensation Liability, Stock-based Compensation, Severance Pay, Accrued Bonuses, Payroll Item List, Employee Profile (Vesting and Distribution Dates), General Ledger (for non-qualified plan contributions)")</f>
        <v>Officer Compensation, Deferred Compensation Liability, Stock-based Compensation, Severance Pay, Accrued Bonuses, Payroll Item List, Employee Profile (Vesting and Distribution Dates), General Ledger (for non-qualified plan contributions)</v>
      </c>
      <c r="F16" s="2" t="s">
        <v>53</v>
      </c>
      <c r="G16" s="3" t="str">
        <f>IFERROR(__xludf.DUMMYFUNCTION("GEMINI(""Explain in 1 sentence how §409A impacts Deferred Tax Liability or Compensation Timing ratios. For a non-accountant CFO. Text: ""&amp;B16)"),"IRC Section 409A requires strict adherence to distribution schedules for nonqualified deferred compensation, where violations trigger immediate taxation and a 20% penalty that accelerates tax liabilities and alters compensation timing ratios.")</f>
        <v>IRC Section 409A requires strict adherence to distribution schedules for nonqualified deferred compensation, where violations trigger immediate taxation and a 20% penalty that accelerates tax liabilities and alters compensation timing ratios.</v>
      </c>
    </row>
    <row r="17">
      <c r="A17" s="1" t="s">
        <v>54</v>
      </c>
      <c r="B17" s="2" t="s">
        <v>55</v>
      </c>
      <c r="C17" s="3" t="str">
        <f>IFERROR(__xludf.DUMMYFUNCTION("GEMINI(""Summarize IRC §1202 in exactly 1 sentence under 20 words. Focus on 100% capital gains exclusion for QSBS. Text: ""&amp;B17)"),"IRC Section 1202 allows non-corporate taxpayers to exclude up to 100% of capital gains from qualified small business stock.")</f>
        <v>IRC Section 1202 allows non-corporate taxpayers to exclude up to 100% of capital gains from qualified small business stock.</v>
      </c>
      <c r="D17" s="3" t="str">
        <f>IFERROR(__xludf.DUMMYFUNCTION("GEMINI(""List 3-5 industries and 2-3 entity types most affected. Format exactly: Industries: [x,y,z] | Entities: [a,b,c]. Text: ""&amp;B17)"),"Industries: [Technology, Manufacturing, Biotechnology, Healthcare, Aerospace] | Entities: [C Corporations, Partnerships, S Corporations]")</f>
        <v>Industries: [Technology, Manufacturing, Biotechnology, Healthcare, Aerospace] | Entities: [C Corporations, Partnerships, S Corporations]</v>
      </c>
      <c r="E17" s="3" t="str">
        <f>IFERROR(__xludf.DUMMYFUNCTION("GEMINI(""What QuickBooks data fields check if §1202 applies? List comma-separated equity, stock issuance, or cap table fields. Text: ""&amp;B17)"),"Stock Issuance Records, Cap Table, Common Stock Ledger, Purchase Agreements, Capital Account, Equity Transactions, Original Issue Date, Consideration Paid (Cash/Property/Services), Aggregate Gross Assets (at and after issuance), Shareholder Entity Type, H"&amp;"olding Period Tracker, Form 1120 (C-Corp verification)")</f>
        <v>Stock Issuance Records, Cap Table, Common Stock Ledger, Purchase Agreements, Capital Account, Equity Transactions, Original Issue Date, Consideration Paid (Cash/Property/Services), Aggregate Gross Assets (at and after issuance), Shareholder Entity Type, Holding Period Tracker, Form 1120 (C-Corp verification)</v>
      </c>
      <c r="F17" s="2" t="s">
        <v>56</v>
      </c>
      <c r="G17" s="3" t="str">
        <f>IFERROR(__xludf.DUMMYFUNCTION("GEMINI(""Explain in 1 sentence how §1202 impacts Capital Gains Tax or Exit Proceeds projections. For a non-accountant CFO. Text: ""&amp;B17)"),"IRC Section 1202 significantly increases exit proceeds by allowing non-corporate shareholders to exclude up to 100% of capital gains from the sale of qualified small business stock, potentially reducing the effective tax rate on those gains to zero.")</f>
        <v>IRC Section 1202 significantly increases exit proceeds by allowing non-corporate shareholders to exclude up to 100% of capital gains from the sale of qualified small business stock, potentially reducing the effective tax rate on those gains to zero.</v>
      </c>
    </row>
    <row r="18">
      <c r="A18" s="4"/>
      <c r="B18" s="5"/>
      <c r="C18" s="3"/>
      <c r="D18" s="3"/>
      <c r="E18" s="3"/>
      <c r="F18" s="3"/>
      <c r="G18" s="3"/>
    </row>
    <row r="19">
      <c r="A19" s="4"/>
      <c r="B19" s="5"/>
      <c r="C19" s="3"/>
      <c r="D19" s="3"/>
      <c r="E19" s="3"/>
      <c r="F19" s="3"/>
      <c r="G19" s="3"/>
    </row>
    <row r="20">
      <c r="A20" s="4"/>
      <c r="B20" s="6"/>
      <c r="C20" s="3"/>
      <c r="D20" s="3"/>
      <c r="E20" s="3"/>
      <c r="F20" s="3"/>
      <c r="G20" s="3"/>
    </row>
    <row r="21">
      <c r="A21" s="4"/>
      <c r="B21" s="6"/>
      <c r="C21" s="3"/>
      <c r="D21" s="3"/>
      <c r="E21" s="3"/>
      <c r="F21" s="3"/>
      <c r="G21" s="3"/>
    </row>
    <row r="22">
      <c r="A22" s="4"/>
      <c r="B22" s="6"/>
      <c r="C22" s="3"/>
      <c r="D22" s="3"/>
      <c r="E22" s="3"/>
      <c r="F22" s="3"/>
      <c r="G22" s="3"/>
    </row>
    <row r="23">
      <c r="A23" s="4"/>
      <c r="B23" s="6"/>
      <c r="C23" s="3"/>
      <c r="D23" s="3"/>
      <c r="E23" s="3"/>
      <c r="F23" s="3"/>
      <c r="G23" s="3"/>
    </row>
    <row r="24">
      <c r="A24" s="4"/>
      <c r="B24" s="6"/>
      <c r="C24" s="3"/>
      <c r="D24" s="3"/>
      <c r="E24" s="3"/>
      <c r="F24" s="3"/>
      <c r="G24" s="3"/>
    </row>
    <row r="25">
      <c r="A25" s="4"/>
      <c r="B25" s="5"/>
      <c r="C25" s="3"/>
      <c r="D25" s="3"/>
      <c r="E25" s="3"/>
      <c r="F25" s="3"/>
      <c r="G25" s="3"/>
    </row>
    <row r="26">
      <c r="A26" s="4"/>
      <c r="B26" s="7"/>
      <c r="C26" s="3"/>
      <c r="D26" s="3"/>
      <c r="E26" s="3"/>
      <c r="F26" s="3"/>
      <c r="G26" s="3"/>
    </row>
    <row r="27">
      <c r="A27" s="4"/>
      <c r="B27" s="5"/>
      <c r="C27" s="3"/>
      <c r="D27" s="3"/>
      <c r="E27" s="3"/>
      <c r="F27" s="3"/>
      <c r="G27" s="3"/>
    </row>
    <row r="28">
      <c r="A28" s="4"/>
      <c r="B28" s="5"/>
      <c r="C28" s="3"/>
      <c r="D28" s="3"/>
      <c r="E28" s="3"/>
      <c r="F28" s="3"/>
      <c r="G28" s="3"/>
    </row>
    <row r="29">
      <c r="A29" s="4"/>
      <c r="B29" s="5"/>
      <c r="C29" s="3"/>
      <c r="D29" s="3"/>
      <c r="E29" s="3"/>
      <c r="F29" s="3"/>
      <c r="G29" s="3"/>
    </row>
    <row r="30">
      <c r="A30" s="4"/>
      <c r="B30" s="6"/>
      <c r="C30" s="3"/>
      <c r="D30" s="3"/>
      <c r="E30" s="3"/>
      <c r="F30" s="3"/>
      <c r="G30" s="3"/>
    </row>
    <row r="31">
      <c r="A31" s="4"/>
      <c r="B31" s="6"/>
      <c r="C31" s="3"/>
      <c r="D31" s="3"/>
      <c r="E31" s="3"/>
      <c r="F31" s="3"/>
      <c r="G31" s="3"/>
    </row>
    <row r="32">
      <c r="A32" s="4"/>
      <c r="B32" s="6"/>
      <c r="C32" s="3"/>
      <c r="D32" s="3"/>
      <c r="E32" s="3"/>
      <c r="F32" s="3"/>
      <c r="G32" s="3"/>
    </row>
    <row r="33">
      <c r="A33" s="4"/>
      <c r="B33" s="6"/>
      <c r="C33" s="3"/>
      <c r="D33" s="3"/>
      <c r="E33" s="3"/>
      <c r="F33" s="3"/>
      <c r="G33" s="3"/>
    </row>
    <row r="34">
      <c r="A34" s="4"/>
      <c r="B34" s="5"/>
      <c r="C34" s="3"/>
      <c r="D34" s="3"/>
      <c r="E34" s="3"/>
      <c r="F34" s="3"/>
      <c r="G34" s="3"/>
    </row>
    <row r="35">
      <c r="A35" s="4"/>
      <c r="B35" s="7"/>
      <c r="C35" s="3"/>
      <c r="D35" s="3"/>
      <c r="E35" s="3"/>
      <c r="F35" s="3"/>
      <c r="G35" s="3"/>
    </row>
    <row r="36">
      <c r="A36" s="4"/>
      <c r="B36" s="5"/>
      <c r="C36" s="3"/>
      <c r="D36" s="3"/>
      <c r="E36" s="3"/>
      <c r="F36" s="3"/>
      <c r="G36" s="3"/>
    </row>
    <row r="37">
      <c r="A37" s="4"/>
      <c r="B37" s="6"/>
      <c r="C37" s="3"/>
      <c r="D37" s="3"/>
      <c r="E37" s="3"/>
      <c r="F37" s="3"/>
      <c r="G37" s="3"/>
    </row>
    <row r="38">
      <c r="A38" s="4"/>
      <c r="B38" s="5"/>
      <c r="C38" s="3"/>
      <c r="D38" s="3"/>
      <c r="E38" s="3"/>
      <c r="F38" s="3"/>
      <c r="G38" s="3"/>
    </row>
    <row r="39">
      <c r="A39" s="4"/>
      <c r="B39" s="6"/>
      <c r="C39" s="3"/>
      <c r="D39" s="3"/>
      <c r="E39" s="3"/>
      <c r="F39" s="3"/>
      <c r="G39" s="3"/>
    </row>
    <row r="40">
      <c r="A40" s="4"/>
      <c r="B40" s="6"/>
      <c r="C40" s="3"/>
      <c r="D40" s="3"/>
      <c r="E40" s="3"/>
      <c r="F40" s="3"/>
      <c r="G40" s="3"/>
    </row>
    <row r="41">
      <c r="A41" s="4"/>
      <c r="B41" s="6"/>
      <c r="C41" s="3"/>
      <c r="D41" s="3"/>
      <c r="E41" s="3"/>
      <c r="F41" s="3"/>
      <c r="G41" s="3"/>
    </row>
    <row r="42">
      <c r="A42" s="4"/>
      <c r="B42" s="6"/>
      <c r="C42" s="3"/>
      <c r="D42" s="3"/>
      <c r="E42" s="3"/>
      <c r="F42" s="3"/>
      <c r="G42" s="3"/>
    </row>
    <row r="43">
      <c r="A43" s="4"/>
      <c r="B43" s="6"/>
      <c r="C43" s="3"/>
      <c r="D43" s="3"/>
      <c r="E43" s="3"/>
      <c r="F43" s="3"/>
      <c r="G43" s="3"/>
    </row>
    <row r="44">
      <c r="A44" s="4"/>
      <c r="B44" s="6"/>
      <c r="C44" s="3"/>
      <c r="D44" s="3"/>
      <c r="E44" s="3"/>
      <c r="F44" s="3"/>
      <c r="G44" s="3"/>
    </row>
    <row r="45">
      <c r="A45" s="4"/>
      <c r="B45" s="6"/>
      <c r="C45" s="3"/>
      <c r="D45" s="3"/>
      <c r="E45" s="3"/>
      <c r="F45" s="3"/>
      <c r="G45" s="3"/>
    </row>
    <row r="46">
      <c r="A46" s="4"/>
      <c r="B46" s="6"/>
      <c r="C46" s="3"/>
      <c r="D46" s="3"/>
      <c r="E46" s="3"/>
      <c r="F46" s="3"/>
      <c r="G46" s="3"/>
    </row>
    <row r="47">
      <c r="A47" s="4"/>
      <c r="B47" s="6"/>
      <c r="C47" s="3"/>
      <c r="D47" s="3"/>
      <c r="E47" s="3"/>
      <c r="F47" s="3"/>
      <c r="G47" s="3"/>
    </row>
    <row r="48">
      <c r="A48" s="4"/>
      <c r="B48" s="6"/>
      <c r="C48" s="3"/>
      <c r="D48" s="3"/>
      <c r="E48" s="3"/>
      <c r="F48" s="3"/>
      <c r="G48" s="3"/>
    </row>
    <row r="49">
      <c r="A49" s="4"/>
      <c r="B49" s="6"/>
      <c r="C49" s="3"/>
      <c r="D49" s="3"/>
      <c r="E49" s="3"/>
      <c r="F49" s="3"/>
      <c r="G49" s="3"/>
    </row>
    <row r="50">
      <c r="A50" s="4"/>
      <c r="B50" s="6"/>
      <c r="C50" s="3"/>
      <c r="D50" s="3"/>
      <c r="E50" s="3"/>
      <c r="F50" s="3"/>
      <c r="G50" s="3"/>
    </row>
    <row r="51">
      <c r="A51" s="4"/>
      <c r="B51" s="5"/>
      <c r="C51" s="3"/>
      <c r="D51" s="3"/>
      <c r="E51" s="3"/>
      <c r="F51" s="3"/>
      <c r="G51" s="3"/>
    </row>
    <row r="52">
      <c r="A52" s="4"/>
      <c r="B52" s="5"/>
      <c r="C52" s="3"/>
      <c r="D52" s="3"/>
      <c r="E52" s="3"/>
      <c r="F52" s="3"/>
      <c r="G52" s="3"/>
    </row>
    <row r="53">
      <c r="A53" s="4"/>
      <c r="B53" s="7"/>
      <c r="C53" s="3"/>
      <c r="D53" s="3"/>
      <c r="E53" s="3"/>
      <c r="F53" s="3"/>
      <c r="G53" s="3"/>
    </row>
    <row r="54">
      <c r="A54" s="4"/>
      <c r="B54" s="5"/>
      <c r="C54" s="3"/>
      <c r="D54" s="3"/>
      <c r="E54" s="3"/>
      <c r="F54" s="3"/>
      <c r="G54" s="3"/>
    </row>
    <row r="55">
      <c r="A55" s="4"/>
      <c r="B55" s="5"/>
      <c r="C55" s="3"/>
      <c r="D55" s="3"/>
      <c r="E55" s="3"/>
      <c r="F55" s="3"/>
      <c r="G55" s="3"/>
    </row>
    <row r="56">
      <c r="A56" s="4"/>
      <c r="B56" s="5"/>
      <c r="C56" s="3"/>
      <c r="D56" s="3"/>
      <c r="E56" s="3"/>
      <c r="F56" s="3"/>
      <c r="G56" s="3"/>
    </row>
    <row r="57">
      <c r="A57" s="4"/>
      <c r="B57" s="7"/>
      <c r="C57" s="3"/>
      <c r="D57" s="3"/>
      <c r="E57" s="3"/>
      <c r="F57" s="3"/>
      <c r="G57" s="3"/>
    </row>
    <row r="58">
      <c r="A58" s="4"/>
      <c r="B58" s="5"/>
      <c r="C58" s="3"/>
      <c r="D58" s="3"/>
      <c r="E58" s="3"/>
      <c r="F58" s="3"/>
      <c r="G58" s="3"/>
    </row>
    <row r="59">
      <c r="A59" s="4"/>
      <c r="B59" s="5"/>
      <c r="C59" s="3"/>
      <c r="D59" s="3"/>
      <c r="E59" s="3"/>
      <c r="F59" s="3"/>
      <c r="G59" s="3"/>
    </row>
    <row r="60">
      <c r="A60" s="4"/>
      <c r="B60" s="7"/>
      <c r="C60" s="3"/>
      <c r="D60" s="3"/>
      <c r="E60" s="3"/>
      <c r="F60" s="3"/>
      <c r="G60" s="3"/>
    </row>
    <row r="61">
      <c r="A61" s="4"/>
      <c r="B61" s="5"/>
      <c r="C61" s="3"/>
      <c r="D61" s="3"/>
      <c r="E61" s="3"/>
      <c r="F61" s="3"/>
      <c r="G61" s="3"/>
    </row>
    <row r="62">
      <c r="A62" s="4"/>
      <c r="B62" s="5"/>
      <c r="C62" s="3"/>
      <c r="D62" s="3"/>
      <c r="E62" s="3"/>
      <c r="F62" s="3"/>
      <c r="G62" s="3"/>
    </row>
    <row r="63">
      <c r="A63" s="4"/>
      <c r="B63" s="6"/>
      <c r="C63" s="3"/>
      <c r="D63" s="3"/>
      <c r="E63" s="3"/>
      <c r="F63" s="3"/>
      <c r="G63" s="3"/>
    </row>
    <row r="64">
      <c r="A64" s="4"/>
      <c r="B64" s="6"/>
      <c r="C64" s="3"/>
      <c r="D64" s="3"/>
      <c r="E64" s="3"/>
      <c r="F64" s="3"/>
      <c r="G64" s="3"/>
    </row>
    <row r="65">
      <c r="A65" s="4"/>
      <c r="B65" s="6"/>
      <c r="C65" s="3"/>
      <c r="D65" s="3"/>
      <c r="E65" s="3"/>
      <c r="F65" s="3"/>
      <c r="G65" s="3"/>
    </row>
    <row r="66">
      <c r="A66" s="4"/>
      <c r="B66" s="6"/>
      <c r="C66" s="3"/>
      <c r="D66" s="3"/>
      <c r="E66" s="3"/>
      <c r="F66" s="3"/>
      <c r="G66" s="3"/>
    </row>
    <row r="67">
      <c r="A67" s="4"/>
      <c r="B67" s="6"/>
      <c r="C67" s="3"/>
      <c r="D67" s="3"/>
      <c r="E67" s="3"/>
      <c r="F67" s="3"/>
      <c r="G67" s="3"/>
    </row>
    <row r="68">
      <c r="A68" s="4"/>
      <c r="B68" s="8"/>
      <c r="C68" s="3"/>
      <c r="D68" s="3"/>
      <c r="E68" s="3"/>
      <c r="F68" s="3"/>
      <c r="G68" s="3"/>
    </row>
    <row r="69">
      <c r="A69" s="4"/>
      <c r="B69" s="6"/>
      <c r="C69" s="3"/>
      <c r="D69" s="3"/>
      <c r="E69" s="3"/>
      <c r="F69" s="3"/>
      <c r="G69" s="3"/>
    </row>
    <row r="70">
      <c r="A70" s="4"/>
      <c r="B70" s="6"/>
      <c r="C70" s="3"/>
      <c r="D70" s="3"/>
      <c r="E70" s="3"/>
      <c r="F70" s="3"/>
      <c r="G70" s="3"/>
    </row>
    <row r="71">
      <c r="A71" s="4"/>
      <c r="B71" s="5"/>
      <c r="C71" s="3"/>
      <c r="D71" s="3"/>
      <c r="E71" s="3"/>
      <c r="F71" s="3"/>
      <c r="G71" s="3"/>
    </row>
    <row r="72">
      <c r="A72" s="4"/>
      <c r="B72" s="7"/>
      <c r="C72" s="3"/>
      <c r="D72" s="3"/>
      <c r="E72" s="3"/>
      <c r="F72" s="3"/>
      <c r="G72" s="3"/>
    </row>
    <row r="73">
      <c r="A73" s="4"/>
      <c r="B73" s="5"/>
      <c r="C73" s="3"/>
      <c r="D73" s="3"/>
      <c r="E73" s="3"/>
      <c r="F73" s="3"/>
      <c r="G73" s="3"/>
    </row>
    <row r="74">
      <c r="A74" s="4"/>
      <c r="B74" s="5"/>
      <c r="C74" s="3"/>
      <c r="D74" s="3"/>
      <c r="E74" s="3"/>
      <c r="F74" s="3"/>
      <c r="G74" s="3"/>
    </row>
    <row r="75">
      <c r="A75" s="4"/>
      <c r="B75" s="5"/>
      <c r="C75" s="3"/>
      <c r="D75" s="3"/>
      <c r="E75" s="3"/>
      <c r="F75" s="3"/>
      <c r="G75" s="3"/>
    </row>
    <row r="76">
      <c r="A76" s="4"/>
      <c r="B76" s="7"/>
      <c r="C76" s="3"/>
      <c r="D76" s="3"/>
      <c r="E76" s="3"/>
      <c r="F76" s="3"/>
      <c r="G76" s="3"/>
    </row>
    <row r="77">
      <c r="A77" s="4"/>
      <c r="B77" s="5"/>
      <c r="C77" s="3"/>
      <c r="D77" s="3"/>
      <c r="E77" s="3"/>
      <c r="F77" s="3"/>
      <c r="G77" s="3"/>
    </row>
    <row r="78">
      <c r="A78" s="4"/>
      <c r="B78" s="5"/>
      <c r="C78" s="3"/>
      <c r="D78" s="3"/>
      <c r="E78" s="3"/>
      <c r="F78" s="3"/>
      <c r="G78" s="3"/>
    </row>
    <row r="79">
      <c r="A79" s="4"/>
      <c r="B79" s="7"/>
      <c r="C79" s="3"/>
      <c r="D79" s="3"/>
      <c r="E79" s="3"/>
      <c r="F79" s="3"/>
      <c r="G79" s="3"/>
    </row>
    <row r="80">
      <c r="A80" s="4"/>
      <c r="B80" s="5"/>
      <c r="C80" s="3"/>
      <c r="D80" s="3"/>
      <c r="E80" s="3"/>
      <c r="F80" s="3"/>
      <c r="G80" s="3"/>
    </row>
    <row r="81">
      <c r="A81" s="4"/>
      <c r="B81" s="5"/>
      <c r="C81" s="3"/>
      <c r="D81" s="3"/>
      <c r="E81" s="3"/>
      <c r="F81" s="3"/>
      <c r="G81" s="3"/>
    </row>
    <row r="82">
      <c r="A82" s="4"/>
      <c r="B82" s="7"/>
      <c r="C82" s="3"/>
      <c r="D82" s="3"/>
      <c r="E82" s="3"/>
      <c r="F82" s="3"/>
      <c r="G82" s="3"/>
    </row>
    <row r="83">
      <c r="A83" s="4"/>
      <c r="B83" s="5"/>
      <c r="C83" s="3"/>
      <c r="D83" s="3"/>
      <c r="E83" s="3"/>
      <c r="F83" s="3"/>
      <c r="G83" s="3"/>
    </row>
    <row r="84">
      <c r="A84" s="4"/>
      <c r="B84" s="5"/>
      <c r="C84" s="3"/>
      <c r="D84" s="3"/>
      <c r="E84" s="3"/>
      <c r="F84" s="3"/>
      <c r="G84" s="3"/>
    </row>
    <row r="85">
      <c r="A85" s="4"/>
      <c r="B85" s="6"/>
      <c r="C85" s="3"/>
      <c r="D85" s="3"/>
      <c r="E85" s="3"/>
      <c r="F85" s="3"/>
      <c r="G85" s="3"/>
    </row>
    <row r="86">
      <c r="A86" s="4"/>
      <c r="B86" s="6"/>
      <c r="C86" s="3"/>
      <c r="D86" s="3"/>
      <c r="E86" s="3"/>
      <c r="F86" s="3"/>
      <c r="G86" s="3"/>
    </row>
    <row r="87">
      <c r="A87" s="4"/>
      <c r="B87" s="6"/>
      <c r="C87" s="3"/>
      <c r="D87" s="3"/>
      <c r="E87" s="3"/>
      <c r="F87" s="3"/>
      <c r="G87" s="3"/>
    </row>
    <row r="88">
      <c r="A88" s="4"/>
      <c r="B88" s="6"/>
      <c r="C88" s="3"/>
      <c r="D88" s="3"/>
      <c r="E88" s="3"/>
      <c r="F88" s="3"/>
      <c r="G88" s="3"/>
    </row>
    <row r="89">
      <c r="A89" s="4"/>
      <c r="B89" s="6"/>
      <c r="C89" s="3"/>
      <c r="D89" s="3"/>
      <c r="E89" s="3"/>
      <c r="F89" s="3"/>
      <c r="G89" s="3"/>
    </row>
    <row r="90">
      <c r="A90" s="4"/>
      <c r="B90" s="6"/>
      <c r="C90" s="3"/>
      <c r="D90" s="3"/>
      <c r="E90" s="3"/>
      <c r="F90" s="3"/>
      <c r="G90" s="3"/>
    </row>
    <row r="91">
      <c r="A91" s="4"/>
      <c r="B91" s="6"/>
      <c r="C91" s="3"/>
      <c r="D91" s="3"/>
      <c r="E91" s="3"/>
      <c r="F91" s="3"/>
      <c r="G91" s="3"/>
    </row>
    <row r="92">
      <c r="A92" s="4"/>
      <c r="B92" s="6"/>
      <c r="C92" s="3"/>
      <c r="D92" s="3"/>
      <c r="E92" s="3"/>
      <c r="F92" s="3"/>
      <c r="G92" s="3"/>
    </row>
    <row r="93">
      <c r="A93" s="4"/>
      <c r="B93" s="6"/>
      <c r="C93" s="3"/>
      <c r="D93" s="3"/>
      <c r="E93" s="3"/>
      <c r="F93" s="3"/>
      <c r="G93" s="3"/>
    </row>
    <row r="94">
      <c r="A94" s="4"/>
      <c r="B94" s="6"/>
      <c r="C94" s="3"/>
      <c r="D94" s="3"/>
      <c r="E94" s="3"/>
      <c r="F94" s="3"/>
      <c r="G94" s="3"/>
    </row>
    <row r="95">
      <c r="A95" s="4"/>
      <c r="B95" s="6"/>
      <c r="C95" s="3"/>
      <c r="D95" s="3"/>
      <c r="E95" s="3"/>
      <c r="F95" s="3"/>
      <c r="G95" s="3"/>
    </row>
    <row r="96">
      <c r="A96" s="4"/>
      <c r="B96" s="6"/>
      <c r="C96" s="3"/>
      <c r="D96" s="3"/>
      <c r="E96" s="3"/>
      <c r="F96" s="3"/>
      <c r="G96" s="3"/>
    </row>
    <row r="97">
      <c r="A97" s="4"/>
      <c r="B97" s="6"/>
      <c r="C97" s="3"/>
      <c r="D97" s="3"/>
      <c r="E97" s="3"/>
      <c r="F97" s="3"/>
      <c r="G97" s="3"/>
    </row>
    <row r="98">
      <c r="A98" s="4"/>
      <c r="B98" s="6"/>
      <c r="C98" s="3"/>
      <c r="D98" s="3"/>
      <c r="E98" s="3"/>
      <c r="F98" s="3"/>
      <c r="G98" s="3"/>
    </row>
    <row r="99">
      <c r="A99" s="4"/>
      <c r="B99" s="6"/>
      <c r="C99" s="3"/>
      <c r="D99" s="3"/>
      <c r="E99" s="3"/>
      <c r="F99" s="3"/>
      <c r="G99" s="3"/>
    </row>
    <row r="100">
      <c r="A100" s="4"/>
      <c r="B100" s="6"/>
      <c r="C100" s="3"/>
      <c r="D100" s="3"/>
      <c r="E100" s="3"/>
      <c r="F100" s="3"/>
      <c r="G100" s="3"/>
    </row>
    <row r="101">
      <c r="A101" s="4"/>
      <c r="B101" s="6"/>
      <c r="C101" s="3"/>
      <c r="D101" s="3"/>
      <c r="E101" s="3"/>
      <c r="F101" s="3"/>
      <c r="G101" s="3"/>
    </row>
    <row r="102">
      <c r="A102" s="4"/>
      <c r="B102" s="6"/>
      <c r="C102" s="3"/>
      <c r="D102" s="3"/>
      <c r="E102" s="3"/>
      <c r="F102" s="3"/>
      <c r="G102" s="3"/>
    </row>
    <row r="103">
      <c r="A103" s="4"/>
      <c r="B103" s="6"/>
      <c r="C103" s="3"/>
      <c r="D103" s="3"/>
      <c r="E103" s="3"/>
      <c r="F103" s="3"/>
      <c r="G103" s="3"/>
    </row>
    <row r="104">
      <c r="A104" s="4"/>
      <c r="B104" s="6"/>
      <c r="C104" s="3"/>
      <c r="D104" s="3"/>
      <c r="E104" s="3"/>
      <c r="F104" s="3"/>
      <c r="G104" s="3"/>
    </row>
    <row r="105">
      <c r="A105" s="4"/>
      <c r="B105" s="5"/>
      <c r="C105" s="3"/>
      <c r="D105" s="3"/>
      <c r="E105" s="3"/>
      <c r="F105" s="3"/>
      <c r="G105" s="3"/>
    </row>
    <row r="106">
      <c r="A106" s="4"/>
      <c r="B106" s="6"/>
      <c r="C106" s="3"/>
      <c r="D106" s="3"/>
      <c r="E106" s="3"/>
      <c r="F106" s="3"/>
      <c r="G106" s="3"/>
    </row>
    <row r="107">
      <c r="A107" s="4"/>
      <c r="B107" s="6"/>
      <c r="C107" s="3"/>
      <c r="D107" s="3"/>
      <c r="E107" s="3"/>
      <c r="F107" s="3"/>
      <c r="G107" s="3"/>
    </row>
    <row r="108">
      <c r="A108" s="4"/>
      <c r="B108" s="6"/>
      <c r="C108" s="3"/>
      <c r="D108" s="3"/>
      <c r="E108" s="3"/>
      <c r="F108" s="3"/>
      <c r="G108" s="3"/>
    </row>
    <row r="109">
      <c r="A109" s="4"/>
      <c r="B109" s="6"/>
      <c r="C109" s="3"/>
      <c r="D109" s="3"/>
      <c r="E109" s="3"/>
      <c r="F109" s="3"/>
      <c r="G109" s="3"/>
    </row>
    <row r="110">
      <c r="A110" s="4"/>
      <c r="B110" s="6"/>
      <c r="C110" s="3"/>
      <c r="D110" s="3"/>
      <c r="E110" s="3"/>
      <c r="F110" s="3"/>
      <c r="G110" s="3"/>
    </row>
    <row r="111">
      <c r="A111" s="4"/>
      <c r="B111" s="5"/>
      <c r="C111" s="3"/>
      <c r="D111" s="3"/>
      <c r="E111" s="3"/>
      <c r="F111" s="3"/>
      <c r="G111" s="3"/>
    </row>
    <row r="112">
      <c r="A112" s="4"/>
      <c r="B112" s="6"/>
      <c r="C112" s="3"/>
      <c r="D112" s="3"/>
      <c r="E112" s="3"/>
      <c r="F112" s="3"/>
      <c r="G112" s="3"/>
    </row>
    <row r="113">
      <c r="A113" s="4"/>
      <c r="B113" s="6"/>
      <c r="C113" s="3"/>
      <c r="D113" s="3"/>
      <c r="E113" s="3"/>
      <c r="F113" s="3"/>
      <c r="G113" s="3"/>
    </row>
    <row r="114">
      <c r="A114" s="4"/>
      <c r="B114" s="6"/>
      <c r="C114" s="3"/>
      <c r="D114" s="3"/>
      <c r="E114" s="3"/>
      <c r="F114" s="3"/>
      <c r="G114" s="3"/>
    </row>
    <row r="115">
      <c r="A115" s="4"/>
      <c r="B115" s="6"/>
      <c r="C115" s="3"/>
      <c r="D115" s="3"/>
      <c r="E115" s="3"/>
      <c r="F115" s="3"/>
      <c r="G115" s="3"/>
    </row>
    <row r="116">
      <c r="A116" s="4"/>
      <c r="B116" s="6"/>
      <c r="C116" s="3"/>
      <c r="D116" s="3"/>
      <c r="E116" s="3"/>
      <c r="F116" s="3"/>
      <c r="G116" s="3"/>
    </row>
    <row r="117">
      <c r="A117" s="4"/>
      <c r="B117" s="6"/>
      <c r="C117" s="3"/>
      <c r="D117" s="3"/>
      <c r="E117" s="3"/>
      <c r="F117" s="3"/>
      <c r="G117" s="3"/>
    </row>
    <row r="118">
      <c r="A118" s="4"/>
      <c r="B118" s="5"/>
      <c r="C118" s="3"/>
      <c r="D118" s="3"/>
      <c r="E118" s="3"/>
      <c r="F118" s="3"/>
      <c r="G118" s="3"/>
    </row>
    <row r="119">
      <c r="A119" s="4"/>
      <c r="B119" s="6"/>
      <c r="C119" s="3"/>
      <c r="D119" s="3"/>
      <c r="E119" s="3"/>
      <c r="F119" s="3"/>
      <c r="G119" s="3"/>
    </row>
    <row r="120">
      <c r="A120" s="4"/>
      <c r="B120" s="6"/>
      <c r="C120" s="3"/>
      <c r="D120" s="3"/>
      <c r="E120" s="3"/>
      <c r="F120" s="3"/>
      <c r="G120" s="3"/>
    </row>
    <row r="121">
      <c r="A121" s="4"/>
      <c r="B121" s="6"/>
      <c r="C121" s="3"/>
      <c r="D121" s="3"/>
      <c r="E121" s="3"/>
      <c r="F121" s="3"/>
      <c r="G121" s="3"/>
    </row>
    <row r="122">
      <c r="A122" s="4"/>
      <c r="B122" s="6"/>
      <c r="C122" s="3"/>
      <c r="D122" s="3"/>
      <c r="E122" s="3"/>
      <c r="F122" s="3"/>
      <c r="G122" s="3"/>
    </row>
    <row r="123">
      <c r="A123" s="4"/>
      <c r="B123" s="6"/>
      <c r="C123" s="3"/>
      <c r="D123" s="3"/>
      <c r="E123" s="3"/>
      <c r="F123" s="3"/>
      <c r="G123" s="3"/>
    </row>
    <row r="124">
      <c r="A124" s="4"/>
      <c r="B124" s="6"/>
      <c r="C124" s="3"/>
      <c r="D124" s="3"/>
      <c r="E124" s="3"/>
      <c r="F124" s="3"/>
      <c r="G124" s="3"/>
    </row>
    <row r="125">
      <c r="A125" s="4"/>
      <c r="B125" s="5"/>
      <c r="C125" s="3"/>
      <c r="D125" s="3"/>
      <c r="E125" s="3"/>
      <c r="F125" s="3"/>
      <c r="G125" s="3"/>
    </row>
    <row r="126">
      <c r="A126" s="4"/>
      <c r="B126" s="5"/>
      <c r="C126" s="3"/>
      <c r="D126" s="3"/>
      <c r="E126" s="3"/>
      <c r="F126" s="3"/>
      <c r="G126" s="3"/>
    </row>
    <row r="127">
      <c r="A127" s="4"/>
      <c r="B127" s="6"/>
      <c r="C127" s="3"/>
      <c r="D127" s="3"/>
      <c r="E127" s="3"/>
      <c r="F127" s="3"/>
      <c r="G127" s="3"/>
    </row>
    <row r="128">
      <c r="A128" s="4"/>
      <c r="B128" s="6"/>
      <c r="C128" s="3"/>
      <c r="D128" s="3"/>
      <c r="E128" s="3"/>
      <c r="F128" s="3"/>
      <c r="G128" s="3"/>
    </row>
    <row r="129">
      <c r="A129" s="4"/>
      <c r="B129" s="6"/>
      <c r="C129" s="3"/>
      <c r="D129" s="3"/>
      <c r="E129" s="3"/>
      <c r="F129" s="3"/>
      <c r="G129" s="3"/>
    </row>
    <row r="130">
      <c r="A130" s="4"/>
      <c r="B130" s="6"/>
      <c r="C130" s="3"/>
      <c r="D130" s="3"/>
      <c r="E130" s="3"/>
      <c r="F130" s="3"/>
      <c r="G130" s="3"/>
    </row>
    <row r="131">
      <c r="A131" s="4"/>
      <c r="B131" s="6"/>
      <c r="C131" s="3"/>
      <c r="D131" s="3"/>
      <c r="E131" s="3"/>
      <c r="F131" s="3"/>
      <c r="G131" s="3"/>
    </row>
    <row r="132">
      <c r="A132" s="4"/>
      <c r="B132" s="6"/>
      <c r="C132" s="3"/>
      <c r="D132" s="3"/>
      <c r="E132" s="3"/>
      <c r="F132" s="3"/>
      <c r="G132" s="3"/>
    </row>
    <row r="133">
      <c r="A133" s="4"/>
      <c r="B133" s="5"/>
      <c r="C133" s="3"/>
      <c r="D133" s="3"/>
      <c r="E133" s="3"/>
      <c r="F133" s="3"/>
      <c r="G133" s="3"/>
    </row>
    <row r="134">
      <c r="A134" s="4"/>
      <c r="B134" s="7"/>
      <c r="C134" s="3"/>
      <c r="D134" s="3"/>
      <c r="E134" s="3"/>
      <c r="F134" s="3"/>
      <c r="G134" s="3"/>
    </row>
    <row r="135">
      <c r="A135" s="4"/>
      <c r="B135" s="5"/>
      <c r="C135" s="3"/>
      <c r="D135" s="3"/>
      <c r="E135" s="3"/>
      <c r="F135" s="3"/>
      <c r="G135" s="3"/>
    </row>
    <row r="136">
      <c r="A136" s="4"/>
      <c r="B136" s="6"/>
      <c r="C136" s="3"/>
      <c r="D136" s="3"/>
      <c r="E136" s="3"/>
      <c r="F136" s="3"/>
      <c r="G136" s="3"/>
    </row>
    <row r="137">
      <c r="A137" s="4"/>
      <c r="B137" s="8"/>
      <c r="C137" s="3"/>
      <c r="D137" s="3"/>
      <c r="E137" s="3"/>
      <c r="F137" s="3"/>
      <c r="G137" s="3"/>
    </row>
    <row r="138">
      <c r="A138" s="4"/>
      <c r="B138" s="6"/>
      <c r="C138" s="3"/>
      <c r="D138" s="3"/>
      <c r="E138" s="3"/>
      <c r="F138" s="3"/>
      <c r="G138" s="3"/>
    </row>
    <row r="139">
      <c r="A139" s="4"/>
      <c r="B139" s="6"/>
      <c r="C139" s="3"/>
      <c r="D139" s="3"/>
      <c r="E139" s="3"/>
      <c r="F139" s="3"/>
      <c r="G139" s="3"/>
    </row>
    <row r="140">
      <c r="A140" s="4"/>
      <c r="B140" s="5"/>
      <c r="C140" s="3"/>
      <c r="D140" s="3"/>
      <c r="E140" s="3"/>
      <c r="F140" s="3"/>
      <c r="G140" s="3"/>
    </row>
    <row r="141">
      <c r="A141" s="4"/>
      <c r="B141" s="6"/>
      <c r="C141" s="3"/>
      <c r="D141" s="3"/>
      <c r="E141" s="3"/>
      <c r="F141" s="3"/>
      <c r="G141" s="3"/>
    </row>
    <row r="142">
      <c r="A142" s="4"/>
      <c r="B142" s="6"/>
      <c r="C142" s="3"/>
      <c r="D142" s="3"/>
      <c r="E142" s="3"/>
      <c r="F142" s="3"/>
      <c r="G142" s="3"/>
    </row>
    <row r="143">
      <c r="A143" s="4"/>
      <c r="B143" s="6"/>
      <c r="C143" s="3"/>
      <c r="D143" s="3"/>
      <c r="E143" s="3"/>
      <c r="F143" s="3"/>
      <c r="G143" s="3"/>
    </row>
    <row r="144">
      <c r="A144" s="4"/>
      <c r="B144" s="6"/>
      <c r="C144" s="3"/>
      <c r="D144" s="3"/>
      <c r="E144" s="3"/>
      <c r="F144" s="3"/>
      <c r="G144" s="3"/>
    </row>
    <row r="145">
      <c r="A145" s="4"/>
      <c r="B145" s="5"/>
      <c r="C145" s="3"/>
      <c r="D145" s="3"/>
      <c r="E145" s="3"/>
      <c r="F145" s="3"/>
      <c r="G145" s="3"/>
    </row>
    <row r="146">
      <c r="A146" s="4"/>
      <c r="B146" s="7"/>
      <c r="C146" s="3"/>
      <c r="D146" s="3"/>
      <c r="E146" s="3"/>
      <c r="F146" s="3"/>
      <c r="G146" s="3"/>
    </row>
    <row r="147">
      <c r="A147" s="4"/>
      <c r="B147" s="5"/>
      <c r="C147" s="3"/>
      <c r="D147" s="3"/>
      <c r="E147" s="3"/>
      <c r="F147" s="3"/>
      <c r="G147" s="3"/>
    </row>
    <row r="148">
      <c r="A148" s="4"/>
      <c r="B148" s="6"/>
      <c r="C148" s="3"/>
      <c r="D148" s="3"/>
      <c r="E148" s="3"/>
      <c r="F148" s="3"/>
      <c r="G148" s="3"/>
    </row>
    <row r="149">
      <c r="A149" s="4"/>
      <c r="B149" s="8"/>
      <c r="C149" s="3"/>
      <c r="D149" s="3"/>
      <c r="E149" s="3"/>
      <c r="F149" s="3"/>
      <c r="G149" s="3"/>
    </row>
    <row r="150">
      <c r="A150" s="4"/>
      <c r="B150" s="6"/>
      <c r="C150" s="3"/>
      <c r="D150" s="3"/>
      <c r="E150" s="3"/>
      <c r="F150" s="3"/>
      <c r="G150" s="3"/>
    </row>
    <row r="151">
      <c r="A151" s="4"/>
      <c r="B151" s="6"/>
      <c r="C151" s="3"/>
      <c r="D151" s="3"/>
      <c r="E151" s="3"/>
      <c r="F151" s="3"/>
      <c r="G151" s="3"/>
    </row>
    <row r="152">
      <c r="A152" s="4"/>
      <c r="B152" s="6"/>
      <c r="C152" s="3"/>
      <c r="D152" s="3"/>
      <c r="E152" s="3"/>
      <c r="F152" s="3"/>
      <c r="G152" s="3"/>
    </row>
    <row r="153">
      <c r="A153" s="4"/>
      <c r="B153" s="6"/>
      <c r="C153" s="3"/>
      <c r="D153" s="3"/>
      <c r="E153" s="3"/>
      <c r="F153" s="3"/>
      <c r="G153" s="3"/>
    </row>
    <row r="154">
      <c r="A154" s="4"/>
      <c r="B154" s="6"/>
      <c r="C154" s="3"/>
      <c r="D154" s="3"/>
      <c r="E154" s="3"/>
      <c r="F154" s="3"/>
      <c r="G154" s="3"/>
    </row>
    <row r="155">
      <c r="A155" s="4"/>
      <c r="B155" s="6"/>
      <c r="C155" s="3"/>
      <c r="D155" s="3"/>
      <c r="E155" s="3"/>
      <c r="F155" s="3"/>
      <c r="G155" s="3"/>
    </row>
    <row r="156">
      <c r="A156" s="4"/>
      <c r="B156" s="6"/>
      <c r="C156" s="3"/>
      <c r="D156" s="3"/>
      <c r="E156" s="3"/>
      <c r="F156" s="3"/>
      <c r="G156" s="3"/>
    </row>
    <row r="157">
      <c r="A157" s="4"/>
      <c r="B157" s="6"/>
      <c r="C157" s="3"/>
      <c r="D157" s="3"/>
      <c r="E157" s="3"/>
      <c r="F157" s="3"/>
      <c r="G157" s="3"/>
    </row>
    <row r="158">
      <c r="A158" s="4"/>
      <c r="B158" s="6"/>
      <c r="C158" s="3"/>
      <c r="D158" s="3"/>
      <c r="E158" s="3"/>
      <c r="F158" s="3"/>
      <c r="G158" s="3"/>
    </row>
    <row r="159">
      <c r="A159" s="4"/>
      <c r="B159" s="6"/>
      <c r="C159" s="3"/>
      <c r="D159" s="3"/>
      <c r="E159" s="3"/>
      <c r="F159" s="3"/>
      <c r="G159" s="3"/>
    </row>
    <row r="160">
      <c r="A160" s="4"/>
      <c r="B160" s="6"/>
      <c r="C160" s="3"/>
      <c r="D160" s="3"/>
      <c r="E160" s="3"/>
      <c r="F160" s="3"/>
      <c r="G160" s="3"/>
    </row>
    <row r="161">
      <c r="A161" s="4"/>
      <c r="B161" s="6"/>
      <c r="C161" s="3"/>
      <c r="D161" s="3"/>
      <c r="E161" s="3"/>
      <c r="F161" s="3"/>
      <c r="G161" s="3"/>
    </row>
    <row r="162">
      <c r="A162" s="4"/>
      <c r="B162" s="6"/>
      <c r="C162" s="3"/>
      <c r="D162" s="3"/>
      <c r="E162" s="3"/>
      <c r="F162" s="3"/>
      <c r="G162" s="3"/>
    </row>
    <row r="163">
      <c r="A163" s="4"/>
      <c r="B163" s="6"/>
      <c r="C163" s="3"/>
      <c r="D163" s="3"/>
      <c r="E163" s="3"/>
      <c r="F163" s="3"/>
      <c r="G163" s="3"/>
    </row>
    <row r="164">
      <c r="A164" s="4"/>
      <c r="B164" s="6"/>
      <c r="C164" s="3"/>
      <c r="D164" s="3"/>
      <c r="E164" s="3"/>
      <c r="F164" s="3"/>
      <c r="G164" s="3"/>
    </row>
    <row r="165">
      <c r="A165" s="4"/>
      <c r="B165" s="8"/>
      <c r="C165" s="3"/>
      <c r="D165" s="3"/>
      <c r="E165" s="3"/>
      <c r="F165" s="3"/>
      <c r="G165" s="3"/>
    </row>
    <row r="166">
      <c r="A166" s="4"/>
      <c r="B166" s="6"/>
      <c r="C166" s="3"/>
      <c r="D166" s="3"/>
      <c r="E166" s="3"/>
      <c r="F166" s="3"/>
      <c r="G166" s="3"/>
    </row>
    <row r="167">
      <c r="A167" s="4"/>
      <c r="B167" s="6"/>
      <c r="C167" s="3"/>
      <c r="D167" s="3"/>
      <c r="E167" s="3"/>
      <c r="F167" s="3"/>
      <c r="G167" s="3"/>
    </row>
    <row r="168">
      <c r="A168" s="4"/>
      <c r="B168" s="8"/>
      <c r="C168" s="3"/>
      <c r="D168" s="3"/>
      <c r="E168" s="3"/>
      <c r="F168" s="3"/>
      <c r="G168" s="3"/>
    </row>
    <row r="169">
      <c r="A169" s="4"/>
      <c r="B169" s="6"/>
      <c r="C169" s="3"/>
      <c r="D169" s="3"/>
      <c r="E169" s="3"/>
      <c r="F169" s="3"/>
      <c r="G169" s="3"/>
    </row>
    <row r="170">
      <c r="A170" s="4"/>
      <c r="B170" s="6"/>
      <c r="C170" s="3"/>
      <c r="D170" s="3"/>
      <c r="E170" s="3"/>
      <c r="F170" s="3"/>
      <c r="G170" s="3"/>
    </row>
    <row r="171">
      <c r="A171" s="4"/>
      <c r="B171" s="8"/>
      <c r="C171" s="3"/>
      <c r="D171" s="3"/>
      <c r="E171" s="3"/>
      <c r="F171" s="3"/>
      <c r="G171" s="3"/>
    </row>
    <row r="172">
      <c r="A172" s="4"/>
      <c r="B172" s="6"/>
      <c r="C172" s="3"/>
      <c r="D172" s="3"/>
      <c r="E172" s="3"/>
      <c r="F172" s="3"/>
      <c r="G172" s="3"/>
    </row>
    <row r="173">
      <c r="A173" s="4"/>
      <c r="B173" s="6"/>
      <c r="C173" s="3"/>
      <c r="D173" s="3"/>
      <c r="E173" s="3"/>
      <c r="F173" s="3"/>
      <c r="G173" s="3"/>
    </row>
    <row r="174">
      <c r="A174" s="4"/>
      <c r="B174" s="8"/>
      <c r="C174" s="3"/>
      <c r="D174" s="3"/>
      <c r="E174" s="3"/>
      <c r="F174" s="3"/>
      <c r="G174" s="3"/>
    </row>
    <row r="175">
      <c r="A175" s="4"/>
      <c r="B175" s="6"/>
      <c r="C175" s="3"/>
      <c r="D175" s="3"/>
      <c r="E175" s="3"/>
      <c r="F175" s="3"/>
      <c r="G175" s="3"/>
    </row>
    <row r="176">
      <c r="A176" s="4"/>
      <c r="B176" s="6"/>
      <c r="C176" s="3"/>
      <c r="D176" s="3"/>
      <c r="E176" s="3"/>
      <c r="F176" s="3"/>
      <c r="G176" s="3"/>
    </row>
    <row r="177">
      <c r="A177" s="4"/>
      <c r="B177" s="8"/>
      <c r="C177" s="3"/>
      <c r="D177" s="3"/>
      <c r="E177" s="3"/>
      <c r="F177" s="3"/>
      <c r="G177" s="3"/>
    </row>
    <row r="178">
      <c r="A178" s="4"/>
      <c r="B178" s="6"/>
      <c r="C178" s="3"/>
      <c r="D178" s="3"/>
      <c r="E178" s="3"/>
      <c r="F178" s="3"/>
      <c r="G178" s="3"/>
    </row>
    <row r="179">
      <c r="A179" s="4"/>
      <c r="B179" s="6"/>
      <c r="C179" s="3"/>
      <c r="D179" s="3"/>
      <c r="E179" s="3"/>
      <c r="F179" s="3"/>
      <c r="G179" s="3"/>
    </row>
    <row r="180">
      <c r="A180" s="4"/>
      <c r="B180" s="6"/>
      <c r="C180" s="3"/>
      <c r="D180" s="3"/>
      <c r="E180" s="3"/>
      <c r="F180" s="3"/>
      <c r="G180" s="3"/>
    </row>
    <row r="181">
      <c r="A181" s="4"/>
      <c r="B181" s="6"/>
      <c r="C181" s="3"/>
      <c r="D181" s="3"/>
      <c r="E181" s="3"/>
      <c r="F181" s="3"/>
      <c r="G181" s="3"/>
    </row>
    <row r="182">
      <c r="A182" s="4"/>
      <c r="B182" s="6"/>
      <c r="C182" s="3"/>
      <c r="D182" s="3"/>
      <c r="E182" s="3"/>
      <c r="F182" s="3"/>
      <c r="G182" s="3"/>
    </row>
    <row r="183">
      <c r="A183" s="4"/>
      <c r="B183" s="6"/>
      <c r="C183" s="3"/>
      <c r="D183" s="3"/>
      <c r="E183" s="3"/>
      <c r="F183" s="3"/>
      <c r="G183" s="3"/>
    </row>
    <row r="184">
      <c r="A184" s="4"/>
      <c r="B184" s="6"/>
      <c r="C184" s="3"/>
      <c r="D184" s="3"/>
      <c r="E184" s="3"/>
      <c r="F184" s="3"/>
      <c r="G184" s="3"/>
    </row>
    <row r="185">
      <c r="A185" s="4"/>
      <c r="B185" s="6"/>
      <c r="C185" s="3"/>
      <c r="D185" s="3"/>
      <c r="E185" s="3"/>
      <c r="F185" s="3"/>
      <c r="G185" s="3"/>
    </row>
    <row r="186">
      <c r="A186" s="4"/>
      <c r="B186" s="6"/>
      <c r="C186" s="3"/>
      <c r="D186" s="3"/>
      <c r="E186" s="3"/>
      <c r="F186" s="3"/>
      <c r="G186" s="3"/>
    </row>
    <row r="187">
      <c r="A187" s="4"/>
      <c r="B187" s="6"/>
      <c r="C187" s="3"/>
      <c r="D187" s="3"/>
      <c r="E187" s="3"/>
      <c r="F187" s="3"/>
      <c r="G187" s="3"/>
    </row>
    <row r="188">
      <c r="A188" s="4"/>
      <c r="B188" s="6"/>
      <c r="C188" s="3"/>
      <c r="D188" s="3"/>
      <c r="E188" s="3"/>
      <c r="F188" s="3"/>
      <c r="G188" s="3"/>
    </row>
    <row r="189">
      <c r="A189" s="4"/>
      <c r="B189" s="6"/>
      <c r="C189" s="3"/>
      <c r="D189" s="3"/>
      <c r="E189" s="3"/>
      <c r="F189" s="3"/>
      <c r="G189" s="3"/>
    </row>
    <row r="190">
      <c r="A190" s="4"/>
      <c r="B190" s="9"/>
      <c r="C190" s="3"/>
      <c r="D190" s="3"/>
      <c r="E190" s="3"/>
      <c r="F190" s="3"/>
      <c r="G190" s="3"/>
    </row>
    <row r="191">
      <c r="A191" s="4"/>
      <c r="B191" s="3"/>
      <c r="C191" s="3"/>
      <c r="D191" s="3"/>
      <c r="E191" s="3"/>
      <c r="F191" s="3"/>
      <c r="G191" s="3"/>
    </row>
    <row r="192">
      <c r="A192" s="4"/>
      <c r="B192" s="3"/>
      <c r="C192" s="3"/>
      <c r="D192" s="3"/>
      <c r="E192" s="3"/>
      <c r="F192" s="3"/>
      <c r="G192" s="3"/>
    </row>
    <row r="193">
      <c r="A193" s="4"/>
      <c r="B193" s="3"/>
      <c r="C193" s="3"/>
      <c r="D193" s="3"/>
      <c r="E193" s="3"/>
      <c r="F193" s="3"/>
      <c r="G193" s="3"/>
    </row>
    <row r="194">
      <c r="A194" s="4"/>
      <c r="B194" s="3"/>
      <c r="C194" s="3"/>
      <c r="D194" s="3"/>
      <c r="E194" s="3"/>
      <c r="F194" s="3"/>
      <c r="G194" s="3"/>
    </row>
    <row r="195">
      <c r="A195" s="4"/>
      <c r="B195" s="3"/>
      <c r="C195" s="3"/>
      <c r="D195" s="3"/>
      <c r="E195" s="3"/>
      <c r="F195" s="3"/>
      <c r="G195" s="3"/>
    </row>
    <row r="196">
      <c r="A196" s="4"/>
      <c r="B196" s="3"/>
      <c r="C196" s="3"/>
      <c r="D196" s="3"/>
      <c r="E196" s="3"/>
      <c r="F196" s="3"/>
      <c r="G196" s="3"/>
    </row>
    <row r="197">
      <c r="A197" s="4"/>
      <c r="B197" s="3"/>
      <c r="C197" s="3"/>
      <c r="D197" s="3"/>
      <c r="E197" s="3"/>
      <c r="F197" s="3"/>
      <c r="G197" s="3"/>
    </row>
    <row r="198">
      <c r="A198" s="4"/>
      <c r="B198" s="3"/>
      <c r="C198" s="3"/>
      <c r="D198" s="3"/>
      <c r="E198" s="3"/>
      <c r="F198" s="3"/>
      <c r="G198" s="3"/>
    </row>
    <row r="199">
      <c r="A199" s="4"/>
      <c r="B199" s="3"/>
      <c r="C199" s="3"/>
      <c r="D199" s="3"/>
      <c r="E199" s="3"/>
      <c r="F199" s="3"/>
      <c r="G199" s="3"/>
    </row>
    <row r="200">
      <c r="A200" s="4"/>
      <c r="B200" s="3"/>
      <c r="C200" s="3"/>
      <c r="D200" s="3"/>
      <c r="E200" s="3"/>
      <c r="F200" s="3"/>
      <c r="G200" s="3"/>
    </row>
    <row r="201">
      <c r="A201" s="4"/>
      <c r="B201" s="3"/>
      <c r="C201" s="3"/>
      <c r="D201" s="3"/>
      <c r="E201" s="3"/>
      <c r="F201" s="3"/>
      <c r="G201" s="3"/>
    </row>
    <row r="202">
      <c r="A202" s="4"/>
      <c r="B202" s="3"/>
      <c r="C202" s="3"/>
      <c r="D202" s="3"/>
      <c r="E202" s="3"/>
      <c r="F202" s="3"/>
      <c r="G202" s="3"/>
    </row>
    <row r="203">
      <c r="A203" s="4"/>
      <c r="B203" s="3"/>
      <c r="C203" s="3"/>
      <c r="D203" s="3"/>
      <c r="E203" s="3"/>
      <c r="F203" s="3"/>
      <c r="G203" s="3"/>
    </row>
    <row r="204">
      <c r="A204" s="4"/>
      <c r="B204" s="3"/>
      <c r="C204" s="3"/>
      <c r="D204" s="3"/>
      <c r="E204" s="3"/>
      <c r="F204" s="3"/>
      <c r="G204" s="3"/>
    </row>
    <row r="205">
      <c r="A205" s="4"/>
      <c r="B205" s="3"/>
      <c r="C205" s="3"/>
      <c r="D205" s="3"/>
      <c r="E205" s="3"/>
      <c r="F205" s="3"/>
      <c r="G205" s="3"/>
    </row>
    <row r="206">
      <c r="A206" s="4"/>
      <c r="B206" s="3"/>
      <c r="C206" s="3"/>
      <c r="D206" s="3"/>
      <c r="E206" s="3"/>
      <c r="F206" s="3"/>
      <c r="G206" s="3"/>
    </row>
    <row r="207">
      <c r="A207" s="4"/>
      <c r="B207" s="3"/>
      <c r="C207" s="3"/>
      <c r="D207" s="3"/>
      <c r="E207" s="3"/>
      <c r="F207" s="3"/>
      <c r="G207" s="3"/>
    </row>
    <row r="208">
      <c r="A208" s="4"/>
      <c r="B208" s="3"/>
      <c r="C208" s="3"/>
      <c r="D208" s="3"/>
      <c r="E208" s="3"/>
      <c r="F208" s="3"/>
      <c r="G208" s="3"/>
    </row>
    <row r="209">
      <c r="A209" s="4"/>
      <c r="B209" s="3"/>
      <c r="C209" s="3"/>
      <c r="D209" s="3"/>
      <c r="E209" s="3"/>
      <c r="F209" s="3"/>
      <c r="G209" s="3"/>
    </row>
    <row r="210">
      <c r="A210" s="4"/>
      <c r="B210" s="3"/>
      <c r="C210" s="3"/>
      <c r="D210" s="3"/>
      <c r="E210" s="3"/>
      <c r="F210" s="3"/>
      <c r="G210" s="3"/>
    </row>
    <row r="211">
      <c r="A211" s="4"/>
      <c r="B211" s="3"/>
      <c r="C211" s="3"/>
      <c r="D211" s="3"/>
      <c r="E211" s="3"/>
      <c r="F211" s="3"/>
      <c r="G211" s="3"/>
    </row>
    <row r="212">
      <c r="A212" s="4"/>
      <c r="B212" s="3"/>
      <c r="C212" s="3"/>
      <c r="D212" s="3"/>
      <c r="E212" s="3"/>
      <c r="F212" s="3"/>
      <c r="G212" s="3"/>
    </row>
    <row r="213">
      <c r="A213" s="4"/>
      <c r="B213" s="3"/>
      <c r="C213" s="3"/>
      <c r="D213" s="3"/>
      <c r="E213" s="3"/>
      <c r="F213" s="3"/>
      <c r="G213" s="3"/>
    </row>
    <row r="214">
      <c r="A214" s="4"/>
      <c r="B214" s="3"/>
      <c r="C214" s="3"/>
      <c r="D214" s="3"/>
      <c r="E214" s="3"/>
      <c r="F214" s="3"/>
      <c r="G214" s="3"/>
    </row>
    <row r="215">
      <c r="A215" s="4"/>
      <c r="B215" s="3"/>
      <c r="C215" s="3"/>
      <c r="D215" s="3"/>
      <c r="E215" s="3"/>
      <c r="F215" s="3"/>
      <c r="G215" s="3"/>
    </row>
    <row r="216">
      <c r="A216" s="4"/>
      <c r="B216" s="3"/>
      <c r="C216" s="3"/>
      <c r="D216" s="3"/>
      <c r="E216" s="3"/>
      <c r="F216" s="3"/>
      <c r="G216" s="3"/>
    </row>
    <row r="217">
      <c r="A217" s="4"/>
      <c r="B217" s="3"/>
      <c r="C217" s="3"/>
      <c r="D217" s="3"/>
      <c r="E217" s="3"/>
      <c r="F217" s="3"/>
      <c r="G217" s="3"/>
    </row>
    <row r="218">
      <c r="A218" s="4"/>
      <c r="B218" s="3"/>
      <c r="C218" s="3"/>
      <c r="D218" s="3"/>
      <c r="E218" s="3"/>
      <c r="F218" s="3"/>
      <c r="G218" s="3"/>
    </row>
    <row r="219">
      <c r="A219" s="4"/>
      <c r="B219" s="3"/>
      <c r="C219" s="3"/>
      <c r="D219" s="3"/>
      <c r="E219" s="3"/>
      <c r="F219" s="3"/>
      <c r="G219" s="3"/>
    </row>
    <row r="220">
      <c r="A220" s="4"/>
      <c r="B220" s="3"/>
      <c r="C220" s="3"/>
      <c r="D220" s="3"/>
      <c r="E220" s="3"/>
      <c r="F220" s="3"/>
      <c r="G220" s="3"/>
    </row>
    <row r="221">
      <c r="A221" s="4"/>
      <c r="B221" s="3"/>
      <c r="C221" s="3"/>
      <c r="D221" s="3"/>
      <c r="E221" s="3"/>
      <c r="F221" s="3"/>
      <c r="G221" s="3"/>
    </row>
    <row r="222">
      <c r="A222" s="4"/>
      <c r="B222" s="3"/>
      <c r="C222" s="3"/>
      <c r="D222" s="3"/>
      <c r="E222" s="3"/>
      <c r="F222" s="3"/>
      <c r="G222" s="3"/>
    </row>
    <row r="223">
      <c r="A223" s="4"/>
      <c r="B223" s="3"/>
      <c r="C223" s="3"/>
      <c r="D223" s="3"/>
      <c r="E223" s="3"/>
      <c r="F223" s="3"/>
      <c r="G223" s="3"/>
    </row>
    <row r="224">
      <c r="A224" s="4"/>
      <c r="B224" s="3"/>
      <c r="C224" s="3"/>
      <c r="D224" s="3"/>
      <c r="E224" s="3"/>
      <c r="F224" s="3"/>
      <c r="G224" s="3"/>
    </row>
    <row r="225">
      <c r="A225" s="4"/>
      <c r="B225" s="3"/>
      <c r="C225" s="3"/>
      <c r="D225" s="3"/>
      <c r="E225" s="3"/>
      <c r="F225" s="3"/>
      <c r="G225" s="3"/>
    </row>
    <row r="226">
      <c r="A226" s="4"/>
      <c r="B226" s="3"/>
      <c r="C226" s="3"/>
      <c r="D226" s="3"/>
      <c r="E226" s="3"/>
      <c r="F226" s="3"/>
      <c r="G226" s="3"/>
    </row>
    <row r="227">
      <c r="A227" s="4"/>
      <c r="B227" s="3"/>
      <c r="C227" s="3"/>
      <c r="D227" s="3"/>
      <c r="E227" s="3"/>
      <c r="F227" s="3"/>
      <c r="G227" s="3"/>
    </row>
    <row r="228">
      <c r="A228" s="4"/>
      <c r="B228" s="3"/>
      <c r="C228" s="3"/>
      <c r="D228" s="3"/>
      <c r="E228" s="3"/>
      <c r="F228" s="3"/>
      <c r="G228" s="3"/>
    </row>
    <row r="229">
      <c r="A229" s="4"/>
      <c r="B229" s="3"/>
      <c r="C229" s="3"/>
      <c r="D229" s="3"/>
      <c r="E229" s="3"/>
      <c r="F229" s="3"/>
      <c r="G229" s="3"/>
    </row>
    <row r="230">
      <c r="A230" s="4"/>
      <c r="B230" s="3"/>
      <c r="C230" s="3"/>
      <c r="D230" s="3"/>
      <c r="E230" s="3"/>
      <c r="F230" s="3"/>
      <c r="G230" s="3"/>
    </row>
    <row r="231">
      <c r="A231" s="4"/>
      <c r="B231" s="3"/>
      <c r="C231" s="3"/>
      <c r="D231" s="3"/>
      <c r="E231" s="3"/>
      <c r="F231" s="3"/>
      <c r="G231" s="3"/>
    </row>
    <row r="232">
      <c r="A232" s="4"/>
      <c r="B232" s="3"/>
      <c r="C232" s="3"/>
      <c r="D232" s="3"/>
      <c r="E232" s="3"/>
      <c r="F232" s="3"/>
      <c r="G232" s="3"/>
    </row>
    <row r="233">
      <c r="A233" s="4"/>
      <c r="B233" s="3"/>
      <c r="C233" s="3"/>
      <c r="D233" s="3"/>
      <c r="E233" s="3"/>
      <c r="F233" s="3"/>
      <c r="G233" s="3"/>
    </row>
    <row r="234">
      <c r="A234" s="4"/>
      <c r="B234" s="3"/>
      <c r="C234" s="3"/>
      <c r="D234" s="3"/>
      <c r="E234" s="3"/>
      <c r="F234" s="3"/>
      <c r="G234" s="3"/>
    </row>
    <row r="235">
      <c r="A235" s="4"/>
      <c r="B235" s="3"/>
      <c r="C235" s="3"/>
      <c r="D235" s="3"/>
      <c r="E235" s="3"/>
      <c r="F235" s="3"/>
      <c r="G235" s="3"/>
    </row>
    <row r="236">
      <c r="A236" s="4"/>
      <c r="B236" s="3"/>
      <c r="C236" s="3"/>
      <c r="D236" s="3"/>
      <c r="E236" s="3"/>
      <c r="F236" s="3"/>
      <c r="G236" s="3"/>
    </row>
    <row r="237">
      <c r="A237" s="4"/>
      <c r="B237" s="3"/>
      <c r="C237" s="3"/>
      <c r="D237" s="3"/>
      <c r="E237" s="3"/>
      <c r="F237" s="3"/>
      <c r="G237" s="3"/>
    </row>
    <row r="238">
      <c r="A238" s="4"/>
      <c r="B238" s="3"/>
      <c r="C238" s="3"/>
      <c r="D238" s="3"/>
      <c r="E238" s="3"/>
      <c r="F238" s="3"/>
      <c r="G238" s="3"/>
    </row>
    <row r="239">
      <c r="A239" s="4"/>
      <c r="B239" s="3"/>
      <c r="C239" s="3"/>
      <c r="D239" s="3"/>
      <c r="E239" s="3"/>
      <c r="F239" s="3"/>
      <c r="G239" s="3"/>
    </row>
    <row r="240">
      <c r="A240" s="4"/>
      <c r="B240" s="3"/>
      <c r="C240" s="3"/>
      <c r="D240" s="3"/>
      <c r="E240" s="3"/>
      <c r="F240" s="3"/>
      <c r="G240" s="3"/>
    </row>
    <row r="241">
      <c r="A241" s="4"/>
      <c r="B241" s="3"/>
      <c r="C241" s="3"/>
      <c r="D241" s="3"/>
      <c r="E241" s="3"/>
      <c r="F241" s="3"/>
      <c r="G241" s="3"/>
    </row>
    <row r="242">
      <c r="A242" s="4"/>
      <c r="B242" s="3"/>
      <c r="C242" s="3"/>
      <c r="D242" s="3"/>
      <c r="E242" s="3"/>
      <c r="F242" s="3"/>
      <c r="G242" s="3"/>
    </row>
    <row r="243">
      <c r="A243" s="4"/>
      <c r="B243" s="3"/>
      <c r="C243" s="3"/>
      <c r="D243" s="3"/>
      <c r="E243" s="3"/>
      <c r="F243" s="3"/>
      <c r="G243" s="3"/>
    </row>
    <row r="244">
      <c r="A244" s="4"/>
      <c r="B244" s="3"/>
      <c r="C244" s="3"/>
      <c r="D244" s="3"/>
      <c r="E244" s="3"/>
      <c r="F244" s="3"/>
      <c r="G244" s="3"/>
    </row>
    <row r="245">
      <c r="A245" s="4"/>
      <c r="B245" s="3"/>
      <c r="C245" s="3"/>
      <c r="D245" s="3"/>
      <c r="E245" s="3"/>
      <c r="F245" s="3"/>
      <c r="G245" s="3"/>
    </row>
    <row r="246">
      <c r="A246" s="4"/>
      <c r="B246" s="3"/>
      <c r="C246" s="3"/>
      <c r="D246" s="3"/>
      <c r="E246" s="3"/>
      <c r="F246" s="3"/>
      <c r="G246" s="3"/>
    </row>
    <row r="247">
      <c r="A247" s="4"/>
      <c r="B247" s="3"/>
      <c r="C247" s="3"/>
      <c r="D247" s="3"/>
      <c r="E247" s="3"/>
      <c r="F247" s="3"/>
      <c r="G247" s="3"/>
    </row>
    <row r="248">
      <c r="A248" s="4"/>
      <c r="B248" s="3"/>
      <c r="C248" s="3"/>
      <c r="D248" s="3"/>
      <c r="E248" s="3"/>
      <c r="F248" s="3"/>
      <c r="G248" s="3"/>
    </row>
    <row r="249">
      <c r="A249" s="4"/>
      <c r="B249" s="3"/>
      <c r="C249" s="3"/>
      <c r="D249" s="3"/>
      <c r="E249" s="3"/>
      <c r="F249" s="3"/>
      <c r="G249" s="3"/>
    </row>
    <row r="250">
      <c r="A250" s="4"/>
      <c r="B250" s="3"/>
      <c r="C250" s="3"/>
      <c r="D250" s="3"/>
      <c r="E250" s="3"/>
      <c r="F250" s="3"/>
      <c r="G250" s="3"/>
    </row>
    <row r="251">
      <c r="A251" s="4"/>
      <c r="B251" s="3"/>
      <c r="C251" s="3"/>
      <c r="D251" s="3"/>
      <c r="E251" s="3"/>
      <c r="F251" s="3"/>
      <c r="G251" s="3"/>
    </row>
    <row r="252">
      <c r="A252" s="4"/>
      <c r="B252" s="3"/>
      <c r="C252" s="3"/>
      <c r="D252" s="3"/>
      <c r="E252" s="3"/>
      <c r="F252" s="3"/>
      <c r="G252" s="3"/>
    </row>
    <row r="253">
      <c r="A253" s="4"/>
      <c r="B253" s="3"/>
      <c r="C253" s="3"/>
      <c r="D253" s="3"/>
      <c r="E253" s="3"/>
      <c r="F253" s="3"/>
      <c r="G253" s="3"/>
    </row>
    <row r="254">
      <c r="A254" s="4"/>
      <c r="B254" s="3"/>
      <c r="C254" s="3"/>
      <c r="D254" s="3"/>
      <c r="E254" s="3"/>
      <c r="F254" s="3"/>
      <c r="G254" s="3"/>
    </row>
    <row r="255">
      <c r="A255" s="4"/>
      <c r="B255" s="3"/>
      <c r="C255" s="3"/>
      <c r="D255" s="3"/>
      <c r="E255" s="3"/>
      <c r="F255" s="3"/>
      <c r="G255" s="3"/>
    </row>
    <row r="256">
      <c r="A256" s="4"/>
      <c r="B256" s="3"/>
      <c r="C256" s="3"/>
      <c r="D256" s="3"/>
      <c r="E256" s="3"/>
      <c r="F256" s="3"/>
      <c r="G256" s="3"/>
    </row>
    <row r="257">
      <c r="A257" s="4"/>
      <c r="B257" s="3"/>
      <c r="C257" s="3"/>
      <c r="D257" s="3"/>
      <c r="E257" s="3"/>
      <c r="F257" s="3"/>
      <c r="G257" s="3"/>
    </row>
    <row r="258">
      <c r="A258" s="4"/>
      <c r="B258" s="3"/>
      <c r="C258" s="3"/>
      <c r="D258" s="3"/>
      <c r="E258" s="3"/>
      <c r="F258" s="3"/>
      <c r="G258" s="3"/>
    </row>
    <row r="259">
      <c r="A259" s="4"/>
      <c r="B259" s="3"/>
      <c r="C259" s="3"/>
      <c r="D259" s="3"/>
      <c r="E259" s="3"/>
      <c r="F259" s="3"/>
      <c r="G259" s="3"/>
    </row>
    <row r="260">
      <c r="A260" s="4"/>
      <c r="B260" s="3"/>
      <c r="C260" s="3"/>
      <c r="D260" s="3"/>
      <c r="E260" s="3"/>
      <c r="F260" s="3"/>
      <c r="G260" s="3"/>
    </row>
    <row r="261">
      <c r="A261" s="4"/>
      <c r="B261" s="3"/>
      <c r="C261" s="3"/>
      <c r="D261" s="3"/>
      <c r="E261" s="3"/>
      <c r="F261" s="3"/>
      <c r="G261" s="3"/>
    </row>
    <row r="262">
      <c r="A262" s="4"/>
      <c r="B262" s="3"/>
      <c r="C262" s="3"/>
      <c r="D262" s="3"/>
      <c r="E262" s="3"/>
      <c r="F262" s="3"/>
      <c r="G262" s="3"/>
    </row>
    <row r="263">
      <c r="A263" s="4"/>
      <c r="B263" s="3"/>
      <c r="C263" s="3"/>
      <c r="D263" s="3"/>
      <c r="E263" s="3"/>
      <c r="F263" s="3"/>
      <c r="G263" s="3"/>
    </row>
    <row r="264">
      <c r="A264" s="4"/>
      <c r="B264" s="3"/>
      <c r="C264" s="3"/>
      <c r="D264" s="3"/>
      <c r="E264" s="3"/>
      <c r="F264" s="3"/>
      <c r="G264" s="3"/>
    </row>
    <row r="265">
      <c r="A265" s="4"/>
      <c r="B265" s="3"/>
      <c r="C265" s="3"/>
      <c r="D265" s="3"/>
      <c r="E265" s="3"/>
      <c r="F265" s="3"/>
      <c r="G265" s="3"/>
    </row>
    <row r="266">
      <c r="A266" s="4"/>
      <c r="B266" s="3"/>
      <c r="C266" s="3"/>
      <c r="D266" s="3"/>
      <c r="E266" s="3"/>
      <c r="F266" s="3"/>
      <c r="G266" s="3"/>
    </row>
    <row r="267">
      <c r="A267" s="4"/>
      <c r="B267" s="3"/>
      <c r="C267" s="3"/>
      <c r="D267" s="3"/>
      <c r="E267" s="3"/>
      <c r="F267" s="3"/>
      <c r="G267" s="3"/>
    </row>
    <row r="268">
      <c r="A268" s="4"/>
      <c r="B268" s="3"/>
      <c r="C268" s="3"/>
      <c r="D268" s="3"/>
      <c r="E268" s="3"/>
      <c r="F268" s="3"/>
      <c r="G268" s="3"/>
    </row>
    <row r="269">
      <c r="A269" s="4"/>
      <c r="B269" s="3"/>
      <c r="C269" s="3"/>
      <c r="D269" s="3"/>
      <c r="E269" s="3"/>
      <c r="F269" s="3"/>
      <c r="G269" s="3"/>
    </row>
    <row r="270">
      <c r="A270" s="4"/>
      <c r="B270" s="3"/>
      <c r="C270" s="3"/>
      <c r="D270" s="3"/>
      <c r="E270" s="3"/>
      <c r="F270" s="3"/>
      <c r="G270" s="3"/>
    </row>
    <row r="271">
      <c r="A271" s="4"/>
      <c r="B271" s="3"/>
      <c r="C271" s="3"/>
      <c r="D271" s="3"/>
      <c r="E271" s="3"/>
      <c r="F271" s="3"/>
      <c r="G271" s="3"/>
    </row>
    <row r="272">
      <c r="A272" s="4"/>
      <c r="B272" s="3"/>
      <c r="C272" s="3"/>
      <c r="D272" s="3"/>
      <c r="E272" s="3"/>
      <c r="F272" s="3"/>
      <c r="G272" s="3"/>
    </row>
    <row r="273">
      <c r="A273" s="4"/>
      <c r="B273" s="3"/>
      <c r="C273" s="3"/>
      <c r="D273" s="3"/>
      <c r="E273" s="3"/>
      <c r="F273" s="3"/>
      <c r="G273" s="3"/>
    </row>
    <row r="274">
      <c r="A274" s="4"/>
      <c r="B274" s="3"/>
      <c r="C274" s="3"/>
      <c r="D274" s="3"/>
      <c r="E274" s="3"/>
      <c r="F274" s="3"/>
      <c r="G274" s="3"/>
    </row>
    <row r="275">
      <c r="A275" s="4"/>
      <c r="B275" s="3"/>
      <c r="C275" s="3"/>
      <c r="D275" s="3"/>
      <c r="E275" s="3"/>
      <c r="F275" s="3"/>
      <c r="G275" s="3"/>
    </row>
    <row r="276">
      <c r="A276" s="4"/>
      <c r="B276" s="3"/>
      <c r="C276" s="3"/>
      <c r="D276" s="3"/>
      <c r="E276" s="3"/>
      <c r="F276" s="3"/>
      <c r="G276" s="3"/>
    </row>
    <row r="277">
      <c r="A277" s="4"/>
      <c r="B277" s="3"/>
      <c r="C277" s="3"/>
      <c r="D277" s="3"/>
      <c r="E277" s="3"/>
      <c r="F277" s="3"/>
      <c r="G277" s="3"/>
    </row>
    <row r="278">
      <c r="A278" s="4"/>
      <c r="B278" s="3"/>
      <c r="C278" s="3"/>
      <c r="D278" s="3"/>
      <c r="E278" s="3"/>
      <c r="F278" s="3"/>
      <c r="G278" s="3"/>
    </row>
    <row r="279">
      <c r="A279" s="4"/>
      <c r="B279" s="3"/>
      <c r="C279" s="3"/>
      <c r="D279" s="3"/>
      <c r="E279" s="3"/>
      <c r="F279" s="3"/>
      <c r="G279" s="3"/>
    </row>
    <row r="280">
      <c r="A280" s="4"/>
      <c r="B280" s="3"/>
      <c r="C280" s="3"/>
      <c r="D280" s="3"/>
      <c r="E280" s="3"/>
      <c r="F280" s="3"/>
      <c r="G280" s="3"/>
    </row>
    <row r="281">
      <c r="A281" s="4"/>
      <c r="B281" s="3"/>
      <c r="C281" s="3"/>
      <c r="D281" s="3"/>
      <c r="E281" s="3"/>
      <c r="F281" s="3"/>
      <c r="G281" s="3"/>
    </row>
    <row r="282">
      <c r="A282" s="4"/>
      <c r="B282" s="3"/>
      <c r="C282" s="3"/>
      <c r="D282" s="3"/>
      <c r="E282" s="3"/>
      <c r="F282" s="3"/>
      <c r="G282" s="3"/>
    </row>
    <row r="283">
      <c r="A283" s="4"/>
      <c r="B283" s="3"/>
      <c r="C283" s="3"/>
      <c r="D283" s="3"/>
      <c r="E283" s="3"/>
      <c r="F283" s="3"/>
      <c r="G283" s="3"/>
    </row>
    <row r="284">
      <c r="A284" s="4"/>
      <c r="B284" s="3"/>
      <c r="C284" s="3"/>
      <c r="D284" s="3"/>
      <c r="E284" s="3"/>
      <c r="F284" s="3"/>
      <c r="G284" s="3"/>
    </row>
    <row r="285">
      <c r="A285" s="4"/>
      <c r="B285" s="3"/>
      <c r="C285" s="3"/>
      <c r="D285" s="3"/>
      <c r="E285" s="3"/>
      <c r="F285" s="3"/>
      <c r="G285" s="3"/>
    </row>
    <row r="286">
      <c r="A286" s="4"/>
      <c r="B286" s="3"/>
      <c r="C286" s="3"/>
      <c r="D286" s="3"/>
      <c r="E286" s="3"/>
      <c r="F286" s="3"/>
      <c r="G286" s="3"/>
    </row>
    <row r="287">
      <c r="A287" s="4"/>
      <c r="B287" s="3"/>
      <c r="C287" s="3"/>
      <c r="D287" s="3"/>
      <c r="E287" s="3"/>
      <c r="F287" s="3"/>
      <c r="G287" s="3"/>
    </row>
    <row r="288">
      <c r="A288" s="4"/>
      <c r="B288" s="3"/>
      <c r="C288" s="3"/>
      <c r="D288" s="3"/>
      <c r="E288" s="3"/>
      <c r="F288" s="3"/>
      <c r="G288" s="3"/>
    </row>
    <row r="289">
      <c r="A289" s="4"/>
      <c r="B289" s="3"/>
      <c r="C289" s="3"/>
      <c r="D289" s="3"/>
      <c r="E289" s="3"/>
      <c r="F289" s="3"/>
      <c r="G289" s="3"/>
    </row>
    <row r="290">
      <c r="A290" s="4"/>
      <c r="B290" s="3"/>
      <c r="C290" s="3"/>
      <c r="D290" s="3"/>
      <c r="E290" s="3"/>
      <c r="F290" s="3"/>
      <c r="G290" s="3"/>
    </row>
    <row r="291">
      <c r="A291" s="4"/>
      <c r="B291" s="3"/>
      <c r="C291" s="3"/>
      <c r="D291" s="3"/>
      <c r="E291" s="3"/>
      <c r="F291" s="3"/>
      <c r="G291" s="3"/>
    </row>
    <row r="292">
      <c r="A292" s="4"/>
      <c r="B292" s="3"/>
      <c r="C292" s="3"/>
      <c r="D292" s="3"/>
      <c r="E292" s="3"/>
      <c r="F292" s="3"/>
      <c r="G292" s="3"/>
    </row>
    <row r="293">
      <c r="A293" s="4"/>
      <c r="B293" s="3"/>
      <c r="C293" s="3"/>
      <c r="D293" s="3"/>
      <c r="E293" s="3"/>
      <c r="F293" s="3"/>
      <c r="G293" s="3"/>
    </row>
    <row r="294">
      <c r="A294" s="4"/>
      <c r="B294" s="3"/>
      <c r="C294" s="3"/>
      <c r="D294" s="3"/>
      <c r="E294" s="3"/>
      <c r="F294" s="3"/>
      <c r="G294" s="3"/>
    </row>
    <row r="295">
      <c r="A295" s="4"/>
      <c r="B295" s="3"/>
      <c r="C295" s="3"/>
      <c r="D295" s="3"/>
      <c r="E295" s="3"/>
      <c r="F295" s="3"/>
      <c r="G295" s="3"/>
    </row>
    <row r="296">
      <c r="A296" s="4"/>
      <c r="B296" s="3"/>
      <c r="C296" s="3"/>
      <c r="D296" s="3"/>
      <c r="E296" s="3"/>
      <c r="F296" s="3"/>
      <c r="G296" s="3"/>
    </row>
    <row r="297">
      <c r="A297" s="4"/>
      <c r="B297" s="3"/>
      <c r="C297" s="3"/>
      <c r="D297" s="3"/>
      <c r="E297" s="3"/>
      <c r="F297" s="3"/>
      <c r="G297" s="3"/>
    </row>
    <row r="298">
      <c r="A298" s="4"/>
      <c r="B298" s="3"/>
      <c r="C298" s="3"/>
      <c r="D298" s="3"/>
      <c r="E298" s="3"/>
      <c r="F298" s="3"/>
      <c r="G298" s="3"/>
    </row>
    <row r="299">
      <c r="A299" s="4"/>
      <c r="B299" s="3"/>
      <c r="C299" s="3"/>
      <c r="D299" s="3"/>
      <c r="E299" s="3"/>
      <c r="F299" s="3"/>
      <c r="G299" s="3"/>
    </row>
    <row r="300">
      <c r="A300" s="4"/>
      <c r="B300" s="3"/>
      <c r="C300" s="3"/>
      <c r="D300" s="3"/>
      <c r="E300" s="3"/>
      <c r="F300" s="3"/>
      <c r="G300" s="3"/>
    </row>
    <row r="301">
      <c r="A301" s="4"/>
      <c r="B301" s="3"/>
      <c r="C301" s="3"/>
      <c r="D301" s="3"/>
      <c r="E301" s="3"/>
      <c r="F301" s="3"/>
      <c r="G301" s="3"/>
    </row>
    <row r="302">
      <c r="A302" s="4"/>
      <c r="B302" s="3"/>
      <c r="C302" s="3"/>
      <c r="D302" s="3"/>
      <c r="E302" s="3"/>
      <c r="F302" s="3"/>
      <c r="G302" s="3"/>
    </row>
    <row r="303">
      <c r="A303" s="4"/>
      <c r="B303" s="3"/>
      <c r="C303" s="3"/>
      <c r="D303" s="3"/>
      <c r="E303" s="3"/>
      <c r="F303" s="3"/>
      <c r="G303" s="3"/>
    </row>
    <row r="304">
      <c r="A304" s="4"/>
      <c r="B304" s="3"/>
      <c r="C304" s="3"/>
      <c r="D304" s="3"/>
      <c r="E304" s="3"/>
      <c r="F304" s="3"/>
      <c r="G304" s="3"/>
    </row>
    <row r="305">
      <c r="A305" s="4"/>
      <c r="B305" s="3"/>
      <c r="C305" s="3"/>
      <c r="D305" s="3"/>
      <c r="E305" s="3"/>
      <c r="F305" s="3"/>
      <c r="G305" s="3"/>
    </row>
    <row r="306">
      <c r="A306" s="4"/>
      <c r="B306" s="3"/>
      <c r="C306" s="3"/>
      <c r="D306" s="3"/>
      <c r="E306" s="3"/>
      <c r="F306" s="3"/>
      <c r="G306" s="3"/>
    </row>
    <row r="307">
      <c r="A307" s="4"/>
      <c r="B307" s="3"/>
      <c r="C307" s="3"/>
      <c r="D307" s="3"/>
      <c r="E307" s="3"/>
      <c r="F307" s="3"/>
      <c r="G307" s="3"/>
    </row>
    <row r="308">
      <c r="A308" s="4"/>
      <c r="B308" s="3"/>
      <c r="C308" s="3"/>
      <c r="D308" s="3"/>
      <c r="E308" s="3"/>
      <c r="F308" s="3"/>
      <c r="G308" s="3"/>
    </row>
    <row r="309">
      <c r="A309" s="4"/>
      <c r="B309" s="3"/>
      <c r="C309" s="3"/>
      <c r="D309" s="3"/>
      <c r="E309" s="3"/>
      <c r="F309" s="3"/>
      <c r="G309" s="3"/>
    </row>
    <row r="310">
      <c r="A310" s="4"/>
      <c r="B310" s="3"/>
      <c r="C310" s="3"/>
      <c r="D310" s="3"/>
      <c r="E310" s="3"/>
      <c r="F310" s="3"/>
      <c r="G310" s="3"/>
    </row>
    <row r="311">
      <c r="A311" s="4"/>
      <c r="B311" s="3"/>
      <c r="C311" s="3"/>
      <c r="D311" s="3"/>
      <c r="E311" s="3"/>
      <c r="F311" s="3"/>
      <c r="G311" s="3"/>
    </row>
    <row r="312">
      <c r="A312" s="4"/>
      <c r="B312" s="3"/>
      <c r="C312" s="3"/>
      <c r="D312" s="3"/>
      <c r="E312" s="3"/>
      <c r="F312" s="3"/>
      <c r="G312" s="3"/>
    </row>
    <row r="313">
      <c r="A313" s="4"/>
      <c r="B313" s="3"/>
      <c r="C313" s="3"/>
      <c r="D313" s="3"/>
      <c r="E313" s="3"/>
      <c r="F313" s="3"/>
      <c r="G313" s="3"/>
    </row>
    <row r="314">
      <c r="A314" s="4"/>
      <c r="B314" s="3"/>
      <c r="C314" s="3"/>
      <c r="D314" s="3"/>
      <c r="E314" s="3"/>
      <c r="F314" s="3"/>
      <c r="G314" s="3"/>
    </row>
    <row r="315">
      <c r="A315" s="4"/>
      <c r="B315" s="3"/>
      <c r="C315" s="3"/>
      <c r="D315" s="3"/>
      <c r="E315" s="3"/>
      <c r="F315" s="3"/>
      <c r="G315" s="3"/>
    </row>
    <row r="316">
      <c r="A316" s="4"/>
      <c r="B316" s="3"/>
      <c r="C316" s="3"/>
      <c r="D316" s="3"/>
      <c r="E316" s="3"/>
      <c r="F316" s="3"/>
      <c r="G316" s="3"/>
    </row>
    <row r="317">
      <c r="A317" s="4"/>
      <c r="B317" s="3"/>
      <c r="C317" s="3"/>
      <c r="D317" s="3"/>
      <c r="E317" s="3"/>
      <c r="F317" s="3"/>
      <c r="G317" s="3"/>
    </row>
    <row r="318">
      <c r="A318" s="4"/>
      <c r="B318" s="3"/>
      <c r="C318" s="3"/>
      <c r="D318" s="3"/>
      <c r="E318" s="3"/>
      <c r="F318" s="3"/>
      <c r="G318" s="3"/>
    </row>
    <row r="319">
      <c r="A319" s="4"/>
      <c r="B319" s="3"/>
      <c r="C319" s="3"/>
      <c r="D319" s="3"/>
      <c r="E319" s="3"/>
      <c r="F319" s="3"/>
      <c r="G319" s="3"/>
    </row>
    <row r="320">
      <c r="A320" s="4"/>
      <c r="B320" s="3"/>
      <c r="C320" s="3"/>
      <c r="D320" s="3"/>
      <c r="E320" s="3"/>
      <c r="F320" s="3"/>
      <c r="G320" s="3"/>
    </row>
    <row r="321">
      <c r="A321" s="4"/>
      <c r="B321" s="3"/>
      <c r="C321" s="3"/>
      <c r="D321" s="3"/>
      <c r="E321" s="3"/>
      <c r="F321" s="3"/>
      <c r="G321" s="3"/>
    </row>
    <row r="322">
      <c r="A322" s="4"/>
      <c r="B322" s="3"/>
      <c r="C322" s="3"/>
      <c r="D322" s="3"/>
      <c r="E322" s="3"/>
      <c r="F322" s="3"/>
      <c r="G322" s="3"/>
    </row>
    <row r="323">
      <c r="A323" s="4"/>
      <c r="B323" s="3"/>
      <c r="C323" s="3"/>
      <c r="D323" s="3"/>
      <c r="E323" s="3"/>
      <c r="F323" s="3"/>
      <c r="G323" s="3"/>
    </row>
    <row r="324">
      <c r="A324" s="4"/>
      <c r="B324" s="3"/>
      <c r="C324" s="3"/>
      <c r="D324" s="3"/>
      <c r="E324" s="3"/>
      <c r="F324" s="3"/>
      <c r="G324" s="3"/>
    </row>
    <row r="325">
      <c r="A325" s="4"/>
      <c r="B325" s="3"/>
      <c r="C325" s="3"/>
      <c r="D325" s="3"/>
      <c r="E325" s="3"/>
      <c r="F325" s="3"/>
      <c r="G325" s="3"/>
    </row>
    <row r="326">
      <c r="A326" s="4"/>
      <c r="B326" s="3"/>
      <c r="C326" s="3"/>
      <c r="D326" s="3"/>
      <c r="E326" s="3"/>
      <c r="F326" s="3"/>
      <c r="G326" s="3"/>
    </row>
    <row r="327">
      <c r="A327" s="4"/>
      <c r="B327" s="3"/>
      <c r="C327" s="3"/>
      <c r="D327" s="3"/>
      <c r="E327" s="3"/>
      <c r="F327" s="3"/>
      <c r="G327" s="3"/>
    </row>
    <row r="328">
      <c r="A328" s="4"/>
      <c r="B328" s="3"/>
      <c r="C328" s="3"/>
      <c r="D328" s="3"/>
      <c r="E328" s="3"/>
      <c r="F328" s="3"/>
      <c r="G328" s="3"/>
    </row>
    <row r="329">
      <c r="A329" s="4"/>
      <c r="B329" s="3"/>
      <c r="C329" s="3"/>
      <c r="D329" s="3"/>
      <c r="E329" s="3"/>
      <c r="F329" s="3"/>
      <c r="G329" s="3"/>
    </row>
    <row r="330">
      <c r="A330" s="4"/>
      <c r="B330" s="3"/>
      <c r="C330" s="3"/>
      <c r="D330" s="3"/>
      <c r="E330" s="3"/>
      <c r="F330" s="3"/>
      <c r="G330" s="3"/>
    </row>
    <row r="331">
      <c r="A331" s="4"/>
      <c r="B331" s="3"/>
      <c r="C331" s="3"/>
      <c r="D331" s="3"/>
      <c r="E331" s="3"/>
      <c r="F331" s="3"/>
      <c r="G331" s="3"/>
    </row>
    <row r="332">
      <c r="A332" s="4"/>
      <c r="B332" s="3"/>
      <c r="C332" s="3"/>
      <c r="D332" s="3"/>
      <c r="E332" s="3"/>
      <c r="F332" s="3"/>
      <c r="G332" s="3"/>
    </row>
    <row r="333">
      <c r="A333" s="4"/>
      <c r="B333" s="3"/>
      <c r="C333" s="3"/>
      <c r="D333" s="3"/>
      <c r="E333" s="3"/>
      <c r="F333" s="3"/>
      <c r="G333" s="3"/>
    </row>
    <row r="334">
      <c r="A334" s="4"/>
      <c r="B334" s="3"/>
      <c r="C334" s="3"/>
      <c r="D334" s="3"/>
      <c r="E334" s="3"/>
      <c r="F334" s="3"/>
      <c r="G334" s="3"/>
    </row>
    <row r="335">
      <c r="A335" s="4"/>
      <c r="B335" s="3"/>
      <c r="C335" s="3"/>
      <c r="D335" s="3"/>
      <c r="E335" s="3"/>
      <c r="F335" s="3"/>
      <c r="G335" s="3"/>
    </row>
    <row r="336">
      <c r="A336" s="4"/>
      <c r="B336" s="3"/>
      <c r="C336" s="3"/>
      <c r="D336" s="3"/>
      <c r="E336" s="3"/>
      <c r="F336" s="3"/>
      <c r="G336" s="3"/>
    </row>
    <row r="337">
      <c r="A337" s="4"/>
      <c r="B337" s="3"/>
      <c r="C337" s="3"/>
      <c r="D337" s="3"/>
      <c r="E337" s="3"/>
      <c r="F337" s="3"/>
      <c r="G337" s="3"/>
    </row>
    <row r="338">
      <c r="A338" s="4"/>
      <c r="B338" s="3"/>
      <c r="C338" s="3"/>
      <c r="D338" s="3"/>
      <c r="E338" s="3"/>
      <c r="F338" s="3"/>
      <c r="G338" s="3"/>
    </row>
    <row r="339">
      <c r="A339" s="4"/>
      <c r="B339" s="3"/>
      <c r="C339" s="3"/>
      <c r="D339" s="3"/>
      <c r="E339" s="3"/>
      <c r="F339" s="3"/>
      <c r="G339" s="3"/>
    </row>
    <row r="340">
      <c r="A340" s="4"/>
      <c r="B340" s="3"/>
      <c r="C340" s="3"/>
      <c r="D340" s="3"/>
      <c r="E340" s="3"/>
      <c r="F340" s="3"/>
      <c r="G340" s="3"/>
    </row>
    <row r="341">
      <c r="A341" s="4"/>
      <c r="B341" s="3"/>
      <c r="C341" s="3"/>
      <c r="D341" s="3"/>
      <c r="E341" s="3"/>
      <c r="F341" s="3"/>
      <c r="G341" s="3"/>
    </row>
    <row r="342">
      <c r="A342" s="4"/>
      <c r="B342" s="3"/>
      <c r="C342" s="3"/>
      <c r="D342" s="3"/>
      <c r="E342" s="3"/>
      <c r="F342" s="3"/>
      <c r="G342" s="3"/>
    </row>
    <row r="343">
      <c r="A343" s="4"/>
      <c r="B343" s="3"/>
      <c r="C343" s="3"/>
      <c r="D343" s="3"/>
      <c r="E343" s="3"/>
      <c r="F343" s="3"/>
      <c r="G343" s="3"/>
    </row>
    <row r="344">
      <c r="A344" s="4"/>
      <c r="B344" s="3"/>
      <c r="C344" s="3"/>
      <c r="D344" s="3"/>
      <c r="E344" s="3"/>
      <c r="F344" s="3"/>
      <c r="G344" s="3"/>
    </row>
    <row r="345">
      <c r="A345" s="4"/>
      <c r="B345" s="3"/>
      <c r="C345" s="3"/>
      <c r="D345" s="3"/>
      <c r="E345" s="3"/>
      <c r="F345" s="3"/>
      <c r="G345" s="3"/>
    </row>
    <row r="346">
      <c r="A346" s="4"/>
      <c r="B346" s="3"/>
      <c r="C346" s="3"/>
      <c r="D346" s="3"/>
      <c r="E346" s="3"/>
      <c r="F346" s="3"/>
      <c r="G346" s="3"/>
    </row>
    <row r="347">
      <c r="A347" s="4"/>
      <c r="B347" s="3"/>
      <c r="C347" s="3"/>
      <c r="D347" s="3"/>
      <c r="E347" s="3"/>
      <c r="F347" s="3"/>
      <c r="G347" s="3"/>
    </row>
    <row r="348">
      <c r="A348" s="4"/>
      <c r="B348" s="3"/>
      <c r="C348" s="3"/>
      <c r="D348" s="3"/>
      <c r="E348" s="3"/>
      <c r="F348" s="3"/>
      <c r="G348" s="3"/>
    </row>
    <row r="349">
      <c r="A349" s="4"/>
      <c r="B349" s="3"/>
      <c r="C349" s="3"/>
      <c r="D349" s="3"/>
      <c r="E349" s="3"/>
      <c r="F349" s="3"/>
      <c r="G349" s="3"/>
    </row>
    <row r="350">
      <c r="A350" s="4"/>
      <c r="B350" s="3"/>
      <c r="C350" s="3"/>
      <c r="D350" s="3"/>
      <c r="E350" s="3"/>
      <c r="F350" s="3"/>
      <c r="G350" s="3"/>
    </row>
    <row r="351">
      <c r="A351" s="4"/>
      <c r="B351" s="3"/>
      <c r="C351" s="3"/>
      <c r="D351" s="3"/>
      <c r="E351" s="3"/>
      <c r="F351" s="3"/>
      <c r="G351" s="3"/>
    </row>
    <row r="352">
      <c r="A352" s="4"/>
      <c r="B352" s="3"/>
      <c r="C352" s="3"/>
      <c r="D352" s="3"/>
      <c r="E352" s="3"/>
      <c r="F352" s="3"/>
      <c r="G352" s="3"/>
    </row>
    <row r="353">
      <c r="A353" s="4"/>
      <c r="B353" s="3"/>
      <c r="C353" s="3"/>
      <c r="D353" s="3"/>
      <c r="E353" s="3"/>
      <c r="F353" s="3"/>
      <c r="G353" s="3"/>
    </row>
    <row r="354">
      <c r="A354" s="4"/>
      <c r="B354" s="3"/>
      <c r="C354" s="3"/>
      <c r="D354" s="3"/>
      <c r="E354" s="3"/>
      <c r="F354" s="3"/>
      <c r="G354" s="3"/>
    </row>
    <row r="355">
      <c r="A355" s="4"/>
      <c r="B355" s="3"/>
      <c r="C355" s="3"/>
      <c r="D355" s="3"/>
      <c r="E355" s="3"/>
      <c r="F355" s="3"/>
      <c r="G355" s="3"/>
    </row>
    <row r="356">
      <c r="A356" s="4"/>
      <c r="B356" s="3"/>
      <c r="C356" s="3"/>
      <c r="D356" s="3"/>
      <c r="E356" s="3"/>
      <c r="F356" s="3"/>
      <c r="G356" s="3"/>
    </row>
    <row r="357">
      <c r="A357" s="4"/>
      <c r="B357" s="3"/>
      <c r="C357" s="3"/>
      <c r="D357" s="3"/>
      <c r="E357" s="3"/>
      <c r="F357" s="3"/>
      <c r="G357" s="3"/>
    </row>
    <row r="358">
      <c r="A358" s="4"/>
      <c r="B358" s="3"/>
      <c r="C358" s="3"/>
      <c r="D358" s="3"/>
      <c r="E358" s="3"/>
      <c r="F358" s="3"/>
      <c r="G358" s="3"/>
    </row>
    <row r="359">
      <c r="A359" s="4"/>
      <c r="B359" s="3"/>
      <c r="C359" s="3"/>
      <c r="D359" s="3"/>
      <c r="E359" s="3"/>
      <c r="F359" s="3"/>
      <c r="G359" s="3"/>
    </row>
    <row r="360">
      <c r="A360" s="4"/>
      <c r="B360" s="3"/>
      <c r="C360" s="3"/>
      <c r="D360" s="3"/>
      <c r="E360" s="3"/>
      <c r="F360" s="3"/>
      <c r="G360" s="3"/>
    </row>
    <row r="361">
      <c r="A361" s="4"/>
      <c r="B361" s="3"/>
      <c r="C361" s="3"/>
      <c r="D361" s="3"/>
      <c r="E361" s="3"/>
      <c r="F361" s="3"/>
      <c r="G361" s="3"/>
    </row>
    <row r="362">
      <c r="A362" s="4"/>
      <c r="B362" s="3"/>
      <c r="C362" s="3"/>
      <c r="D362" s="3"/>
      <c r="E362" s="3"/>
      <c r="F362" s="3"/>
      <c r="G362" s="3"/>
    </row>
    <row r="363">
      <c r="A363" s="4"/>
      <c r="B363" s="3"/>
      <c r="C363" s="3"/>
      <c r="D363" s="3"/>
      <c r="E363" s="3"/>
      <c r="F363" s="3"/>
      <c r="G363" s="3"/>
    </row>
    <row r="364">
      <c r="A364" s="4"/>
      <c r="B364" s="3"/>
      <c r="C364" s="3"/>
      <c r="D364" s="3"/>
      <c r="E364" s="3"/>
      <c r="F364" s="3"/>
      <c r="G364" s="3"/>
    </row>
    <row r="365">
      <c r="A365" s="4"/>
      <c r="B365" s="3"/>
      <c r="C365" s="3"/>
      <c r="D365" s="3"/>
      <c r="E365" s="3"/>
      <c r="F365" s="3"/>
      <c r="G365" s="3"/>
    </row>
    <row r="366">
      <c r="A366" s="4"/>
      <c r="B366" s="3"/>
      <c r="C366" s="3"/>
      <c r="D366" s="3"/>
      <c r="E366" s="3"/>
      <c r="F366" s="3"/>
      <c r="G366" s="3"/>
    </row>
    <row r="367">
      <c r="A367" s="4"/>
      <c r="B367" s="3"/>
      <c r="C367" s="3"/>
      <c r="D367" s="3"/>
      <c r="E367" s="3"/>
      <c r="F367" s="3"/>
      <c r="G367" s="3"/>
    </row>
    <row r="368">
      <c r="A368" s="4"/>
      <c r="B368" s="3"/>
      <c r="C368" s="3"/>
      <c r="D368" s="3"/>
      <c r="E368" s="3"/>
      <c r="F368" s="3"/>
      <c r="G368" s="3"/>
    </row>
    <row r="369">
      <c r="A369" s="4"/>
      <c r="B369" s="3"/>
      <c r="C369" s="3"/>
      <c r="D369" s="3"/>
      <c r="E369" s="3"/>
      <c r="F369" s="3"/>
      <c r="G369" s="3"/>
    </row>
    <row r="370">
      <c r="A370" s="4"/>
      <c r="B370" s="3"/>
      <c r="C370" s="3"/>
      <c r="D370" s="3"/>
      <c r="E370" s="3"/>
      <c r="F370" s="3"/>
      <c r="G370" s="3"/>
    </row>
    <row r="371">
      <c r="A371" s="4"/>
      <c r="B371" s="3"/>
      <c r="C371" s="3"/>
      <c r="D371" s="3"/>
      <c r="E371" s="3"/>
      <c r="F371" s="3"/>
      <c r="G371" s="3"/>
    </row>
    <row r="372">
      <c r="A372" s="4"/>
      <c r="B372" s="3"/>
      <c r="C372" s="3"/>
      <c r="D372" s="3"/>
      <c r="E372" s="3"/>
      <c r="F372" s="3"/>
      <c r="G372" s="3"/>
    </row>
    <row r="373">
      <c r="A373" s="4"/>
      <c r="B373" s="3"/>
      <c r="C373" s="3"/>
      <c r="D373" s="3"/>
      <c r="E373" s="3"/>
      <c r="F373" s="3"/>
      <c r="G373" s="3"/>
    </row>
    <row r="374">
      <c r="A374" s="4"/>
      <c r="B374" s="3"/>
      <c r="C374" s="3"/>
      <c r="D374" s="3"/>
      <c r="E374" s="3"/>
      <c r="F374" s="3"/>
      <c r="G374" s="3"/>
    </row>
    <row r="375">
      <c r="A375" s="4"/>
      <c r="B375" s="3"/>
      <c r="C375" s="3"/>
      <c r="D375" s="3"/>
      <c r="E375" s="3"/>
      <c r="F375" s="3"/>
      <c r="G375" s="3"/>
    </row>
    <row r="376">
      <c r="A376" s="4"/>
      <c r="B376" s="3"/>
      <c r="C376" s="3"/>
      <c r="D376" s="3"/>
      <c r="E376" s="3"/>
      <c r="F376" s="3"/>
      <c r="G376" s="3"/>
    </row>
    <row r="377">
      <c r="A377" s="4"/>
      <c r="B377" s="3"/>
      <c r="C377" s="3"/>
      <c r="D377" s="3"/>
      <c r="E377" s="3"/>
      <c r="F377" s="3"/>
      <c r="G377" s="3"/>
    </row>
    <row r="378">
      <c r="A378" s="4"/>
      <c r="B378" s="3"/>
      <c r="C378" s="3"/>
      <c r="D378" s="3"/>
      <c r="E378" s="3"/>
      <c r="F378" s="3"/>
      <c r="G378" s="3"/>
    </row>
    <row r="379">
      <c r="A379" s="4"/>
      <c r="B379" s="3"/>
      <c r="C379" s="3"/>
      <c r="D379" s="3"/>
      <c r="E379" s="3"/>
      <c r="F379" s="3"/>
      <c r="G379" s="3"/>
    </row>
    <row r="380">
      <c r="A380" s="4"/>
      <c r="B380" s="3"/>
      <c r="C380" s="3"/>
      <c r="D380" s="3"/>
      <c r="E380" s="3"/>
      <c r="F380" s="3"/>
      <c r="G380" s="3"/>
    </row>
    <row r="381">
      <c r="A381" s="4"/>
      <c r="B381" s="3"/>
      <c r="C381" s="3"/>
      <c r="D381" s="3"/>
      <c r="E381" s="3"/>
      <c r="F381" s="3"/>
      <c r="G381" s="3"/>
    </row>
    <row r="382">
      <c r="A382" s="4"/>
      <c r="B382" s="3"/>
      <c r="C382" s="3"/>
      <c r="D382" s="3"/>
      <c r="E382" s="3"/>
      <c r="F382" s="3"/>
      <c r="G382" s="3"/>
    </row>
    <row r="383">
      <c r="A383" s="4"/>
      <c r="B383" s="3"/>
      <c r="C383" s="3"/>
      <c r="D383" s="3"/>
      <c r="E383" s="3"/>
      <c r="F383" s="3"/>
      <c r="G383" s="3"/>
    </row>
    <row r="384">
      <c r="A384" s="4"/>
      <c r="B384" s="3"/>
      <c r="C384" s="3"/>
      <c r="D384" s="3"/>
      <c r="E384" s="3"/>
      <c r="F384" s="3"/>
      <c r="G384" s="3"/>
    </row>
    <row r="385">
      <c r="A385" s="4"/>
      <c r="B385" s="3"/>
      <c r="C385" s="3"/>
      <c r="D385" s="3"/>
      <c r="E385" s="3"/>
      <c r="F385" s="3"/>
      <c r="G385" s="3"/>
    </row>
    <row r="386">
      <c r="A386" s="4"/>
      <c r="B386" s="3"/>
      <c r="C386" s="3"/>
      <c r="D386" s="3"/>
      <c r="E386" s="3"/>
      <c r="F386" s="3"/>
      <c r="G386" s="3"/>
    </row>
    <row r="387">
      <c r="A387" s="4"/>
      <c r="B387" s="3"/>
      <c r="C387" s="3"/>
      <c r="D387" s="3"/>
      <c r="E387" s="3"/>
      <c r="F387" s="3"/>
      <c r="G387" s="3"/>
    </row>
    <row r="388">
      <c r="A388" s="4"/>
      <c r="B388" s="3"/>
      <c r="C388" s="3"/>
      <c r="D388" s="3"/>
      <c r="E388" s="3"/>
      <c r="F388" s="3"/>
      <c r="G388" s="3"/>
    </row>
    <row r="389">
      <c r="A389" s="4"/>
      <c r="B389" s="3"/>
      <c r="C389" s="3"/>
      <c r="D389" s="3"/>
      <c r="E389" s="3"/>
      <c r="F389" s="3"/>
      <c r="G389" s="3"/>
    </row>
    <row r="390">
      <c r="A390" s="4"/>
      <c r="B390" s="3"/>
      <c r="C390" s="3"/>
      <c r="D390" s="3"/>
      <c r="E390" s="3"/>
      <c r="F390" s="3"/>
      <c r="G390" s="3"/>
    </row>
    <row r="391">
      <c r="A391" s="4"/>
      <c r="B391" s="3"/>
      <c r="C391" s="3"/>
      <c r="D391" s="3"/>
      <c r="E391" s="3"/>
      <c r="F391" s="3"/>
      <c r="G391" s="3"/>
    </row>
    <row r="392">
      <c r="A392" s="4"/>
      <c r="B392" s="3"/>
      <c r="C392" s="3"/>
      <c r="D392" s="3"/>
      <c r="E392" s="3"/>
      <c r="F392" s="3"/>
      <c r="G392" s="3"/>
    </row>
    <row r="393">
      <c r="A393" s="4"/>
      <c r="B393" s="3"/>
      <c r="C393" s="3"/>
      <c r="D393" s="3"/>
      <c r="E393" s="3"/>
      <c r="F393" s="3"/>
      <c r="G393" s="3"/>
    </row>
    <row r="394">
      <c r="A394" s="4"/>
      <c r="B394" s="3"/>
      <c r="C394" s="3"/>
      <c r="D394" s="3"/>
      <c r="E394" s="3"/>
      <c r="F394" s="3"/>
      <c r="G394" s="3"/>
    </row>
    <row r="395">
      <c r="A395" s="4"/>
      <c r="B395" s="3"/>
      <c r="C395" s="3"/>
      <c r="D395" s="3"/>
      <c r="E395" s="3"/>
      <c r="F395" s="3"/>
      <c r="G395" s="3"/>
    </row>
    <row r="396">
      <c r="A396" s="4"/>
      <c r="B396" s="3"/>
      <c r="C396" s="3"/>
      <c r="D396" s="3"/>
      <c r="E396" s="3"/>
      <c r="F396" s="3"/>
      <c r="G396" s="3"/>
    </row>
    <row r="397">
      <c r="A397" s="4"/>
      <c r="B397" s="3"/>
      <c r="C397" s="3"/>
      <c r="D397" s="3"/>
      <c r="E397" s="3"/>
      <c r="F397" s="3"/>
      <c r="G397" s="3"/>
    </row>
    <row r="398">
      <c r="A398" s="4"/>
      <c r="B398" s="3"/>
      <c r="C398" s="3"/>
      <c r="D398" s="3"/>
      <c r="E398" s="3"/>
      <c r="F398" s="3"/>
      <c r="G398" s="3"/>
    </row>
    <row r="399">
      <c r="A399" s="4"/>
      <c r="B399" s="3"/>
      <c r="C399" s="3"/>
      <c r="D399" s="3"/>
      <c r="E399" s="3"/>
      <c r="F399" s="3"/>
      <c r="G399" s="3"/>
    </row>
    <row r="400">
      <c r="A400" s="4"/>
      <c r="B400" s="3"/>
      <c r="C400" s="3"/>
      <c r="D400" s="3"/>
      <c r="E400" s="3"/>
      <c r="F400" s="3"/>
      <c r="G400" s="3"/>
    </row>
    <row r="401">
      <c r="A401" s="4"/>
      <c r="B401" s="3"/>
      <c r="C401" s="3"/>
      <c r="D401" s="3"/>
      <c r="E401" s="3"/>
      <c r="F401" s="3"/>
      <c r="G401" s="3"/>
    </row>
    <row r="402">
      <c r="A402" s="4"/>
      <c r="B402" s="3"/>
      <c r="C402" s="3"/>
      <c r="D402" s="3"/>
      <c r="E402" s="3"/>
      <c r="F402" s="3"/>
      <c r="G402" s="3"/>
    </row>
    <row r="403">
      <c r="A403" s="4"/>
      <c r="B403" s="3"/>
      <c r="C403" s="3"/>
      <c r="D403" s="3"/>
      <c r="E403" s="3"/>
      <c r="F403" s="3"/>
      <c r="G403" s="3"/>
    </row>
    <row r="404">
      <c r="A404" s="4"/>
      <c r="B404" s="3"/>
      <c r="C404" s="3"/>
      <c r="D404" s="3"/>
      <c r="E404" s="3"/>
      <c r="F404" s="3"/>
      <c r="G404" s="3"/>
    </row>
    <row r="405">
      <c r="A405" s="4"/>
      <c r="B405" s="3"/>
      <c r="C405" s="3"/>
      <c r="D405" s="3"/>
      <c r="E405" s="3"/>
      <c r="F405" s="3"/>
      <c r="G405" s="3"/>
    </row>
    <row r="406">
      <c r="A406" s="4"/>
      <c r="B406" s="3"/>
      <c r="C406" s="3"/>
      <c r="D406" s="3"/>
      <c r="E406" s="3"/>
      <c r="F406" s="3"/>
      <c r="G406" s="3"/>
    </row>
    <row r="407">
      <c r="A407" s="4"/>
      <c r="B407" s="3"/>
      <c r="C407" s="3"/>
      <c r="D407" s="3"/>
      <c r="E407" s="3"/>
      <c r="F407" s="3"/>
      <c r="G407" s="3"/>
    </row>
    <row r="408">
      <c r="A408" s="4"/>
      <c r="B408" s="3"/>
      <c r="C408" s="3"/>
      <c r="D408" s="3"/>
      <c r="E408" s="3"/>
      <c r="F408" s="3"/>
      <c r="G408" s="3"/>
    </row>
    <row r="409">
      <c r="A409" s="4"/>
      <c r="B409" s="3"/>
      <c r="C409" s="3"/>
      <c r="D409" s="3"/>
      <c r="E409" s="3"/>
      <c r="F409" s="3"/>
      <c r="G409" s="3"/>
    </row>
    <row r="410">
      <c r="A410" s="4"/>
      <c r="B410" s="3"/>
      <c r="C410" s="3"/>
      <c r="D410" s="3"/>
      <c r="E410" s="3"/>
      <c r="F410" s="3"/>
      <c r="G410" s="3"/>
    </row>
    <row r="411">
      <c r="A411" s="4"/>
      <c r="B411" s="3"/>
      <c r="C411" s="3"/>
      <c r="D411" s="3"/>
      <c r="E411" s="3"/>
      <c r="F411" s="3"/>
      <c r="G411" s="3"/>
    </row>
    <row r="412">
      <c r="A412" s="4"/>
      <c r="B412" s="3"/>
      <c r="C412" s="3"/>
      <c r="D412" s="3"/>
      <c r="E412" s="3"/>
      <c r="F412" s="3"/>
      <c r="G412" s="3"/>
    </row>
    <row r="413">
      <c r="A413" s="4"/>
      <c r="B413" s="3"/>
      <c r="C413" s="3"/>
      <c r="D413" s="3"/>
      <c r="E413" s="3"/>
      <c r="F413" s="3"/>
      <c r="G413" s="3"/>
    </row>
    <row r="414">
      <c r="A414" s="4"/>
      <c r="B414" s="3"/>
      <c r="C414" s="3"/>
      <c r="D414" s="3"/>
      <c r="E414" s="3"/>
      <c r="F414" s="3"/>
      <c r="G414" s="3"/>
    </row>
    <row r="415">
      <c r="A415" s="4"/>
      <c r="B415" s="3"/>
      <c r="C415" s="3"/>
      <c r="D415" s="3"/>
      <c r="E415" s="3"/>
      <c r="F415" s="3"/>
      <c r="G415" s="3"/>
    </row>
    <row r="416">
      <c r="A416" s="4"/>
      <c r="B416" s="3"/>
      <c r="C416" s="3"/>
      <c r="D416" s="3"/>
      <c r="E416" s="3"/>
      <c r="F416" s="3"/>
      <c r="G416" s="3"/>
    </row>
    <row r="417">
      <c r="A417" s="4"/>
      <c r="B417" s="3"/>
      <c r="C417" s="3"/>
      <c r="D417" s="3"/>
      <c r="E417" s="3"/>
      <c r="F417" s="3"/>
      <c r="G417" s="3"/>
    </row>
    <row r="418">
      <c r="A418" s="4"/>
      <c r="B418" s="3"/>
      <c r="C418" s="3"/>
      <c r="D418" s="3"/>
      <c r="E418" s="3"/>
      <c r="F418" s="3"/>
      <c r="G418" s="3"/>
    </row>
    <row r="419">
      <c r="A419" s="4"/>
      <c r="B419" s="3"/>
      <c r="C419" s="3"/>
      <c r="D419" s="3"/>
      <c r="E419" s="3"/>
      <c r="F419" s="3"/>
      <c r="G419" s="3"/>
    </row>
    <row r="420">
      <c r="A420" s="4"/>
      <c r="B420" s="3"/>
      <c r="C420" s="3"/>
      <c r="D420" s="3"/>
      <c r="E420" s="3"/>
      <c r="F420" s="3"/>
      <c r="G420" s="3"/>
    </row>
    <row r="421">
      <c r="A421" s="4"/>
      <c r="B421" s="3"/>
      <c r="C421" s="3"/>
      <c r="D421" s="3"/>
      <c r="E421" s="3"/>
      <c r="F421" s="3"/>
      <c r="G421" s="3"/>
    </row>
    <row r="422">
      <c r="A422" s="4"/>
      <c r="B422" s="3"/>
      <c r="C422" s="3"/>
      <c r="D422" s="3"/>
      <c r="E422" s="3"/>
      <c r="F422" s="3"/>
      <c r="G422" s="3"/>
    </row>
    <row r="423">
      <c r="A423" s="4"/>
      <c r="B423" s="3"/>
      <c r="C423" s="3"/>
      <c r="D423" s="3"/>
      <c r="E423" s="3"/>
      <c r="F423" s="3"/>
      <c r="G423" s="3"/>
    </row>
    <row r="424">
      <c r="A424" s="4"/>
      <c r="B424" s="3"/>
      <c r="C424" s="3"/>
      <c r="D424" s="3"/>
      <c r="E424" s="3"/>
      <c r="F424" s="3"/>
      <c r="G424" s="3"/>
    </row>
    <row r="425">
      <c r="A425" s="4"/>
      <c r="B425" s="3"/>
      <c r="C425" s="3"/>
      <c r="D425" s="3"/>
      <c r="E425" s="3"/>
      <c r="F425" s="3"/>
      <c r="G425" s="3"/>
    </row>
    <row r="426">
      <c r="A426" s="4"/>
      <c r="B426" s="3"/>
      <c r="C426" s="3"/>
      <c r="D426" s="3"/>
      <c r="E426" s="3"/>
      <c r="F426" s="3"/>
      <c r="G426" s="3"/>
    </row>
    <row r="427">
      <c r="A427" s="4"/>
      <c r="B427" s="3"/>
      <c r="C427" s="3"/>
      <c r="D427" s="3"/>
      <c r="E427" s="3"/>
      <c r="F427" s="3"/>
      <c r="G427" s="3"/>
    </row>
    <row r="428">
      <c r="A428" s="4"/>
      <c r="B428" s="3"/>
      <c r="C428" s="3"/>
      <c r="D428" s="3"/>
      <c r="E428" s="3"/>
      <c r="F428" s="3"/>
      <c r="G428" s="3"/>
    </row>
    <row r="429">
      <c r="A429" s="4"/>
      <c r="B429" s="3"/>
      <c r="C429" s="3"/>
      <c r="D429" s="3"/>
      <c r="E429" s="3"/>
      <c r="F429" s="3"/>
      <c r="G429" s="3"/>
    </row>
    <row r="430">
      <c r="A430" s="4"/>
      <c r="B430" s="3"/>
      <c r="C430" s="3"/>
      <c r="D430" s="3"/>
      <c r="E430" s="3"/>
      <c r="F430" s="3"/>
      <c r="G430" s="3"/>
    </row>
    <row r="431">
      <c r="A431" s="4"/>
      <c r="B431" s="3"/>
      <c r="C431" s="3"/>
      <c r="D431" s="3"/>
      <c r="E431" s="3"/>
      <c r="F431" s="3"/>
      <c r="G431" s="3"/>
    </row>
    <row r="432">
      <c r="A432" s="4"/>
      <c r="B432" s="3"/>
      <c r="C432" s="3"/>
      <c r="D432" s="3"/>
      <c r="E432" s="3"/>
      <c r="F432" s="3"/>
      <c r="G432" s="3"/>
    </row>
    <row r="433">
      <c r="A433" s="4"/>
      <c r="B433" s="3"/>
      <c r="C433" s="3"/>
      <c r="D433" s="3"/>
      <c r="E433" s="3"/>
      <c r="F433" s="3"/>
      <c r="G433" s="3"/>
    </row>
    <row r="434">
      <c r="A434" s="4"/>
      <c r="B434" s="3"/>
      <c r="C434" s="3"/>
      <c r="D434" s="3"/>
      <c r="E434" s="3"/>
      <c r="F434" s="3"/>
      <c r="G434" s="3"/>
    </row>
    <row r="435">
      <c r="A435" s="4"/>
      <c r="B435" s="3"/>
      <c r="C435" s="3"/>
      <c r="D435" s="3"/>
      <c r="E435" s="3"/>
      <c r="F435" s="3"/>
      <c r="G435" s="3"/>
    </row>
    <row r="436">
      <c r="A436" s="4"/>
      <c r="B436" s="3"/>
      <c r="C436" s="3"/>
      <c r="D436" s="3"/>
      <c r="E436" s="3"/>
      <c r="F436" s="3"/>
      <c r="G436" s="3"/>
    </row>
    <row r="437">
      <c r="A437" s="4"/>
      <c r="B437" s="3"/>
      <c r="C437" s="3"/>
      <c r="D437" s="3"/>
      <c r="E437" s="3"/>
      <c r="F437" s="3"/>
      <c r="G437" s="3"/>
    </row>
    <row r="438">
      <c r="A438" s="4"/>
      <c r="B438" s="3"/>
      <c r="C438" s="3"/>
      <c r="D438" s="3"/>
      <c r="E438" s="3"/>
      <c r="F438" s="3"/>
      <c r="G438" s="3"/>
    </row>
    <row r="439">
      <c r="A439" s="4"/>
      <c r="B439" s="3"/>
      <c r="C439" s="3"/>
      <c r="D439" s="3"/>
      <c r="E439" s="3"/>
      <c r="F439" s="3"/>
      <c r="G439" s="3"/>
    </row>
    <row r="440">
      <c r="A440" s="4"/>
      <c r="B440" s="3"/>
      <c r="C440" s="3"/>
      <c r="D440" s="3"/>
      <c r="E440" s="3"/>
      <c r="F440" s="3"/>
      <c r="G440" s="3"/>
    </row>
    <row r="441">
      <c r="A441" s="4"/>
      <c r="B441" s="3"/>
      <c r="C441" s="3"/>
      <c r="D441" s="3"/>
      <c r="E441" s="3"/>
      <c r="F441" s="3"/>
      <c r="G441" s="3"/>
    </row>
    <row r="442">
      <c r="A442" s="4"/>
      <c r="B442" s="3"/>
      <c r="C442" s="3"/>
      <c r="D442" s="3"/>
      <c r="E442" s="3"/>
      <c r="F442" s="3"/>
      <c r="G442" s="3"/>
    </row>
    <row r="443">
      <c r="A443" s="4"/>
      <c r="B443" s="3"/>
      <c r="C443" s="3"/>
      <c r="D443" s="3"/>
      <c r="E443" s="3"/>
      <c r="F443" s="3"/>
      <c r="G443" s="3"/>
    </row>
    <row r="444">
      <c r="A444" s="4"/>
      <c r="B444" s="3"/>
      <c r="C444" s="3"/>
      <c r="D444" s="3"/>
      <c r="E444" s="3"/>
      <c r="F444" s="3"/>
      <c r="G444" s="3"/>
    </row>
    <row r="445">
      <c r="A445" s="4"/>
      <c r="B445" s="3"/>
      <c r="C445" s="3"/>
      <c r="D445" s="3"/>
      <c r="E445" s="3"/>
      <c r="F445" s="3"/>
      <c r="G445" s="3"/>
    </row>
    <row r="446">
      <c r="A446" s="4"/>
      <c r="B446" s="3"/>
      <c r="C446" s="3"/>
      <c r="D446" s="3"/>
      <c r="E446" s="3"/>
      <c r="F446" s="3"/>
      <c r="G446" s="3"/>
    </row>
    <row r="447">
      <c r="A447" s="4"/>
      <c r="B447" s="3"/>
      <c r="C447" s="3"/>
      <c r="D447" s="3"/>
      <c r="E447" s="3"/>
      <c r="F447" s="3"/>
      <c r="G447" s="3"/>
    </row>
    <row r="448">
      <c r="A448" s="4"/>
      <c r="B448" s="3"/>
      <c r="C448" s="3"/>
      <c r="D448" s="3"/>
      <c r="E448" s="3"/>
      <c r="F448" s="3"/>
      <c r="G448" s="3"/>
    </row>
    <row r="449">
      <c r="A449" s="4"/>
      <c r="B449" s="3"/>
      <c r="C449" s="3"/>
      <c r="D449" s="3"/>
      <c r="E449" s="3"/>
      <c r="F449" s="3"/>
      <c r="G449" s="3"/>
    </row>
    <row r="450">
      <c r="A450" s="4"/>
      <c r="B450" s="3"/>
      <c r="C450" s="3"/>
      <c r="D450" s="3"/>
      <c r="E450" s="3"/>
      <c r="F450" s="3"/>
      <c r="G450" s="3"/>
    </row>
    <row r="451">
      <c r="A451" s="4"/>
      <c r="B451" s="3"/>
      <c r="C451" s="3"/>
      <c r="D451" s="3"/>
      <c r="E451" s="3"/>
      <c r="F451" s="3"/>
      <c r="G451" s="3"/>
    </row>
    <row r="452">
      <c r="A452" s="4"/>
      <c r="B452" s="3"/>
      <c r="C452" s="3"/>
      <c r="D452" s="3"/>
      <c r="E452" s="3"/>
      <c r="F452" s="3"/>
      <c r="G452" s="3"/>
    </row>
    <row r="453">
      <c r="A453" s="4"/>
      <c r="B453" s="3"/>
      <c r="C453" s="3"/>
      <c r="D453" s="3"/>
      <c r="E453" s="3"/>
      <c r="F453" s="3"/>
      <c r="G453" s="3"/>
    </row>
    <row r="454">
      <c r="A454" s="4"/>
      <c r="B454" s="3"/>
      <c r="C454" s="3"/>
      <c r="D454" s="3"/>
      <c r="E454" s="3"/>
      <c r="F454" s="3"/>
      <c r="G454" s="3"/>
    </row>
    <row r="455">
      <c r="A455" s="4"/>
      <c r="B455" s="3"/>
      <c r="C455" s="3"/>
      <c r="D455" s="3"/>
      <c r="E455" s="3"/>
      <c r="F455" s="3"/>
      <c r="G455" s="3"/>
    </row>
    <row r="456">
      <c r="A456" s="4"/>
      <c r="B456" s="3"/>
      <c r="C456" s="3"/>
      <c r="D456" s="3"/>
      <c r="E456" s="3"/>
      <c r="F456" s="3"/>
      <c r="G456" s="3"/>
    </row>
    <row r="457">
      <c r="A457" s="4"/>
      <c r="B457" s="3"/>
      <c r="C457" s="3"/>
      <c r="D457" s="3"/>
      <c r="E457" s="3"/>
      <c r="F457" s="3"/>
      <c r="G457" s="3"/>
    </row>
    <row r="458">
      <c r="A458" s="4"/>
      <c r="B458" s="3"/>
      <c r="C458" s="3"/>
      <c r="D458" s="3"/>
      <c r="E458" s="3"/>
      <c r="F458" s="3"/>
      <c r="G458" s="3"/>
    </row>
    <row r="459">
      <c r="A459" s="4"/>
      <c r="B459" s="3"/>
      <c r="C459" s="3"/>
      <c r="D459" s="3"/>
      <c r="E459" s="3"/>
      <c r="F459" s="3"/>
      <c r="G459" s="3"/>
    </row>
    <row r="460">
      <c r="A460" s="4"/>
      <c r="B460" s="3"/>
      <c r="C460" s="3"/>
      <c r="D460" s="3"/>
      <c r="E460" s="3"/>
      <c r="F460" s="3"/>
      <c r="G460" s="3"/>
    </row>
    <row r="461">
      <c r="A461" s="4"/>
      <c r="B461" s="3"/>
      <c r="C461" s="3"/>
      <c r="D461" s="3"/>
      <c r="E461" s="3"/>
      <c r="F461" s="3"/>
      <c r="G461" s="3"/>
    </row>
    <row r="462">
      <c r="A462" s="4"/>
      <c r="B462" s="3"/>
      <c r="C462" s="3"/>
      <c r="D462" s="3"/>
      <c r="E462" s="3"/>
      <c r="F462" s="3"/>
      <c r="G462" s="3"/>
    </row>
    <row r="463">
      <c r="A463" s="4"/>
      <c r="B463" s="3"/>
      <c r="C463" s="3"/>
      <c r="D463" s="3"/>
      <c r="E463" s="3"/>
      <c r="F463" s="3"/>
      <c r="G463" s="3"/>
    </row>
    <row r="464">
      <c r="A464" s="4"/>
      <c r="B464" s="3"/>
      <c r="C464" s="3"/>
      <c r="D464" s="3"/>
      <c r="E464" s="3"/>
      <c r="F464" s="3"/>
      <c r="G464" s="3"/>
    </row>
    <row r="465">
      <c r="A465" s="4"/>
      <c r="B465" s="3"/>
      <c r="C465" s="3"/>
      <c r="D465" s="3"/>
      <c r="E465" s="3"/>
      <c r="F465" s="3"/>
      <c r="G465" s="3"/>
    </row>
    <row r="466">
      <c r="A466" s="4"/>
      <c r="B466" s="3"/>
      <c r="C466" s="3"/>
      <c r="D466" s="3"/>
      <c r="E466" s="3"/>
      <c r="F466" s="3"/>
      <c r="G466" s="3"/>
    </row>
    <row r="467">
      <c r="A467" s="4"/>
      <c r="B467" s="3"/>
      <c r="C467" s="3"/>
      <c r="D467" s="3"/>
      <c r="E467" s="3"/>
      <c r="F467" s="3"/>
      <c r="G467" s="3"/>
    </row>
    <row r="468">
      <c r="A468" s="4"/>
      <c r="B468" s="3"/>
      <c r="C468" s="3"/>
      <c r="D468" s="3"/>
      <c r="E468" s="3"/>
      <c r="F468" s="3"/>
      <c r="G468" s="3"/>
    </row>
    <row r="469">
      <c r="A469" s="4"/>
      <c r="B469" s="3"/>
      <c r="C469" s="3"/>
      <c r="D469" s="3"/>
      <c r="E469" s="3"/>
      <c r="F469" s="3"/>
      <c r="G469" s="3"/>
    </row>
    <row r="470">
      <c r="A470" s="4"/>
      <c r="B470" s="3"/>
      <c r="C470" s="3"/>
      <c r="D470" s="3"/>
      <c r="E470" s="3"/>
      <c r="F470" s="3"/>
      <c r="G470" s="3"/>
    </row>
    <row r="471">
      <c r="A471" s="4"/>
      <c r="B471" s="3"/>
      <c r="C471" s="3"/>
      <c r="D471" s="3"/>
      <c r="E471" s="3"/>
      <c r="F471" s="3"/>
      <c r="G471" s="3"/>
    </row>
    <row r="472">
      <c r="A472" s="4"/>
      <c r="B472" s="3"/>
      <c r="C472" s="3"/>
      <c r="D472" s="3"/>
      <c r="E472" s="3"/>
      <c r="F472" s="3"/>
      <c r="G472" s="3"/>
    </row>
    <row r="473">
      <c r="A473" s="4"/>
      <c r="B473" s="3"/>
      <c r="C473" s="3"/>
      <c r="D473" s="3"/>
      <c r="E473" s="3"/>
      <c r="F473" s="3"/>
      <c r="G473" s="3"/>
    </row>
    <row r="474">
      <c r="A474" s="4"/>
      <c r="B474" s="3"/>
      <c r="C474" s="3"/>
      <c r="D474" s="3"/>
      <c r="E474" s="3"/>
      <c r="F474" s="3"/>
      <c r="G474" s="3"/>
    </row>
    <row r="475">
      <c r="A475" s="4"/>
      <c r="B475" s="3"/>
      <c r="C475" s="3"/>
      <c r="D475" s="3"/>
      <c r="E475" s="3"/>
      <c r="F475" s="3"/>
      <c r="G475" s="3"/>
    </row>
    <row r="476">
      <c r="A476" s="4"/>
      <c r="B476" s="3"/>
      <c r="C476" s="3"/>
      <c r="D476" s="3"/>
      <c r="E476" s="3"/>
      <c r="F476" s="3"/>
      <c r="G476" s="3"/>
    </row>
    <row r="477">
      <c r="A477" s="4"/>
      <c r="B477" s="3"/>
      <c r="C477" s="3"/>
      <c r="D477" s="3"/>
      <c r="E477" s="3"/>
      <c r="F477" s="3"/>
      <c r="G477" s="3"/>
    </row>
    <row r="478">
      <c r="A478" s="4"/>
      <c r="B478" s="3"/>
      <c r="C478" s="3"/>
      <c r="D478" s="3"/>
      <c r="E478" s="3"/>
      <c r="F478" s="3"/>
      <c r="G478" s="3"/>
    </row>
    <row r="479">
      <c r="A479" s="4"/>
      <c r="B479" s="3"/>
      <c r="C479" s="3"/>
      <c r="D479" s="3"/>
      <c r="E479" s="3"/>
      <c r="F479" s="3"/>
      <c r="G479" s="3"/>
    </row>
    <row r="480">
      <c r="A480" s="4"/>
      <c r="B480" s="3"/>
      <c r="C480" s="3"/>
      <c r="D480" s="3"/>
      <c r="E480" s="3"/>
      <c r="F480" s="3"/>
      <c r="G480" s="3"/>
    </row>
    <row r="481">
      <c r="A481" s="4"/>
      <c r="B481" s="3"/>
      <c r="C481" s="3"/>
      <c r="D481" s="3"/>
      <c r="E481" s="3"/>
      <c r="F481" s="3"/>
      <c r="G481" s="3"/>
    </row>
    <row r="482">
      <c r="A482" s="4"/>
      <c r="B482" s="3"/>
      <c r="C482" s="3"/>
      <c r="D482" s="3"/>
      <c r="E482" s="3"/>
      <c r="F482" s="3"/>
      <c r="G482" s="3"/>
    </row>
    <row r="483">
      <c r="A483" s="4"/>
      <c r="B483" s="3"/>
      <c r="C483" s="3"/>
      <c r="D483" s="3"/>
      <c r="E483" s="3"/>
      <c r="F483" s="3"/>
      <c r="G483" s="3"/>
    </row>
    <row r="484">
      <c r="A484" s="4"/>
      <c r="B484" s="3"/>
      <c r="C484" s="3"/>
      <c r="D484" s="3"/>
      <c r="E484" s="3"/>
      <c r="F484" s="3"/>
      <c r="G484" s="3"/>
    </row>
    <row r="485">
      <c r="A485" s="4"/>
      <c r="B485" s="3"/>
      <c r="C485" s="3"/>
      <c r="D485" s="3"/>
      <c r="E485" s="3"/>
      <c r="F485" s="3"/>
      <c r="G485" s="3"/>
    </row>
    <row r="486">
      <c r="A486" s="4"/>
      <c r="B486" s="3"/>
      <c r="C486" s="3"/>
      <c r="D486" s="3"/>
      <c r="E486" s="3"/>
      <c r="F486" s="3"/>
      <c r="G486" s="3"/>
    </row>
    <row r="487">
      <c r="A487" s="4"/>
      <c r="B487" s="3"/>
      <c r="C487" s="3"/>
      <c r="D487" s="3"/>
      <c r="E487" s="3"/>
      <c r="F487" s="3"/>
      <c r="G487" s="3"/>
    </row>
    <row r="488">
      <c r="A488" s="4"/>
      <c r="B488" s="3"/>
      <c r="C488" s="3"/>
      <c r="D488" s="3"/>
      <c r="E488" s="3"/>
      <c r="F488" s="3"/>
      <c r="G488" s="3"/>
    </row>
    <row r="489">
      <c r="A489" s="4"/>
      <c r="B489" s="3"/>
      <c r="C489" s="3"/>
      <c r="D489" s="3"/>
      <c r="E489" s="3"/>
      <c r="F489" s="3"/>
      <c r="G489" s="3"/>
    </row>
    <row r="490">
      <c r="A490" s="4"/>
      <c r="B490" s="3"/>
      <c r="C490" s="3"/>
      <c r="D490" s="3"/>
      <c r="E490" s="3"/>
      <c r="F490" s="3"/>
      <c r="G490" s="3"/>
    </row>
    <row r="491">
      <c r="A491" s="4"/>
      <c r="B491" s="3"/>
      <c r="C491" s="3"/>
      <c r="D491" s="3"/>
      <c r="E491" s="3"/>
      <c r="F491" s="3"/>
      <c r="G491" s="3"/>
    </row>
    <row r="492">
      <c r="A492" s="4"/>
      <c r="B492" s="3"/>
      <c r="C492" s="3"/>
      <c r="D492" s="3"/>
      <c r="E492" s="3"/>
      <c r="F492" s="3"/>
      <c r="G492" s="3"/>
    </row>
    <row r="493">
      <c r="A493" s="4"/>
      <c r="B493" s="3"/>
      <c r="C493" s="3"/>
      <c r="D493" s="3"/>
      <c r="E493" s="3"/>
      <c r="F493" s="3"/>
      <c r="G493" s="3"/>
    </row>
    <row r="494">
      <c r="A494" s="4"/>
      <c r="B494" s="3"/>
      <c r="C494" s="3"/>
      <c r="D494" s="3"/>
      <c r="E494" s="3"/>
      <c r="F494" s="3"/>
      <c r="G494" s="3"/>
    </row>
    <row r="495">
      <c r="A495" s="4"/>
      <c r="B495" s="3"/>
      <c r="C495" s="3"/>
      <c r="D495" s="3"/>
      <c r="E495" s="3"/>
      <c r="F495" s="3"/>
      <c r="G495" s="3"/>
    </row>
    <row r="496">
      <c r="A496" s="4"/>
      <c r="B496" s="3"/>
      <c r="C496" s="3"/>
      <c r="D496" s="3"/>
      <c r="E496" s="3"/>
      <c r="F496" s="3"/>
      <c r="G496" s="3"/>
    </row>
    <row r="497">
      <c r="A497" s="4"/>
      <c r="B497" s="3"/>
      <c r="C497" s="3"/>
      <c r="D497" s="3"/>
      <c r="E497" s="3"/>
      <c r="F497" s="3"/>
      <c r="G497" s="3"/>
    </row>
    <row r="498">
      <c r="A498" s="4"/>
      <c r="B498" s="3"/>
      <c r="C498" s="3"/>
      <c r="D498" s="3"/>
      <c r="E498" s="3"/>
      <c r="F498" s="3"/>
      <c r="G498" s="3"/>
    </row>
    <row r="499">
      <c r="A499" s="4"/>
      <c r="B499" s="3"/>
      <c r="C499" s="3"/>
      <c r="D499" s="3"/>
      <c r="E499" s="3"/>
      <c r="F499" s="3"/>
      <c r="G499" s="3"/>
    </row>
    <row r="500">
      <c r="A500" s="4"/>
      <c r="B500" s="3"/>
      <c r="C500" s="3"/>
      <c r="D500" s="3"/>
      <c r="E500" s="3"/>
      <c r="F500" s="3"/>
      <c r="G500" s="3"/>
    </row>
    <row r="501">
      <c r="A501" s="4"/>
      <c r="B501" s="3"/>
      <c r="C501" s="3"/>
      <c r="D501" s="3"/>
      <c r="E501" s="3"/>
      <c r="F501" s="3"/>
      <c r="G501" s="3"/>
    </row>
    <row r="502">
      <c r="A502" s="4"/>
      <c r="B502" s="3"/>
      <c r="C502" s="3"/>
      <c r="D502" s="3"/>
      <c r="E502" s="3"/>
      <c r="F502" s="3"/>
      <c r="G502" s="3"/>
    </row>
    <row r="503">
      <c r="A503" s="4"/>
      <c r="B503" s="3"/>
      <c r="C503" s="3"/>
      <c r="D503" s="3"/>
      <c r="E503" s="3"/>
      <c r="F503" s="3"/>
      <c r="G503" s="3"/>
    </row>
    <row r="504">
      <c r="A504" s="4"/>
      <c r="B504" s="3"/>
      <c r="C504" s="3"/>
      <c r="D504" s="3"/>
      <c r="E504" s="3"/>
      <c r="F504" s="3"/>
      <c r="G504" s="3"/>
    </row>
    <row r="505">
      <c r="A505" s="4"/>
      <c r="B505" s="3"/>
      <c r="C505" s="3"/>
      <c r="D505" s="3"/>
      <c r="E505" s="3"/>
      <c r="F505" s="3"/>
      <c r="G505" s="3"/>
    </row>
    <row r="506">
      <c r="A506" s="4"/>
      <c r="B506" s="3"/>
      <c r="C506" s="3"/>
      <c r="D506" s="3"/>
      <c r="E506" s="3"/>
      <c r="F506" s="3"/>
      <c r="G506" s="3"/>
    </row>
    <row r="507">
      <c r="A507" s="4"/>
      <c r="B507" s="3"/>
      <c r="C507" s="3"/>
      <c r="D507" s="3"/>
      <c r="E507" s="3"/>
      <c r="F507" s="3"/>
      <c r="G507" s="3"/>
    </row>
    <row r="508">
      <c r="A508" s="4"/>
      <c r="B508" s="3"/>
      <c r="C508" s="3"/>
      <c r="D508" s="3"/>
      <c r="E508" s="3"/>
      <c r="F508" s="3"/>
      <c r="G508" s="3"/>
    </row>
    <row r="509">
      <c r="A509" s="4"/>
      <c r="B509" s="3"/>
      <c r="C509" s="3"/>
      <c r="D509" s="3"/>
      <c r="E509" s="3"/>
      <c r="F509" s="3"/>
      <c r="G509" s="3"/>
    </row>
    <row r="510">
      <c r="A510" s="4"/>
      <c r="B510" s="3"/>
      <c r="C510" s="3"/>
      <c r="D510" s="3"/>
      <c r="E510" s="3"/>
      <c r="F510" s="3"/>
      <c r="G510" s="3"/>
    </row>
    <row r="511">
      <c r="A511" s="4"/>
      <c r="B511" s="3"/>
      <c r="C511" s="3"/>
      <c r="D511" s="3"/>
      <c r="E511" s="3"/>
      <c r="F511" s="3"/>
      <c r="G511" s="3"/>
    </row>
    <row r="512">
      <c r="A512" s="4"/>
      <c r="B512" s="3"/>
      <c r="C512" s="3"/>
      <c r="D512" s="3"/>
      <c r="E512" s="3"/>
      <c r="F512" s="3"/>
      <c r="G512" s="3"/>
    </row>
    <row r="513">
      <c r="A513" s="4"/>
      <c r="B513" s="3"/>
      <c r="C513" s="3"/>
      <c r="D513" s="3"/>
      <c r="E513" s="3"/>
      <c r="F513" s="3"/>
      <c r="G513" s="3"/>
    </row>
    <row r="514">
      <c r="A514" s="4"/>
      <c r="B514" s="3"/>
      <c r="C514" s="3"/>
      <c r="D514" s="3"/>
      <c r="E514" s="3"/>
      <c r="F514" s="3"/>
      <c r="G514" s="3"/>
    </row>
    <row r="515">
      <c r="A515" s="4"/>
      <c r="B515" s="3"/>
      <c r="C515" s="3"/>
      <c r="D515" s="3"/>
      <c r="E515" s="3"/>
      <c r="F515" s="3"/>
      <c r="G515" s="3"/>
    </row>
    <row r="516">
      <c r="A516" s="4"/>
      <c r="B516" s="3"/>
      <c r="C516" s="3"/>
      <c r="D516" s="3"/>
      <c r="E516" s="3"/>
      <c r="F516" s="3"/>
      <c r="G516" s="3"/>
    </row>
    <row r="517">
      <c r="A517" s="4"/>
      <c r="B517" s="3"/>
      <c r="C517" s="3"/>
      <c r="D517" s="3"/>
      <c r="E517" s="3"/>
      <c r="F517" s="3"/>
      <c r="G517" s="3"/>
    </row>
    <row r="518">
      <c r="A518" s="4"/>
      <c r="B518" s="3"/>
      <c r="C518" s="3"/>
      <c r="D518" s="3"/>
      <c r="E518" s="3"/>
      <c r="F518" s="3"/>
      <c r="G518" s="3"/>
    </row>
    <row r="519">
      <c r="A519" s="4"/>
      <c r="B519" s="3"/>
      <c r="C519" s="3"/>
      <c r="D519" s="3"/>
      <c r="E519" s="3"/>
      <c r="F519" s="3"/>
      <c r="G519" s="3"/>
    </row>
    <row r="520">
      <c r="A520" s="4"/>
      <c r="B520" s="3"/>
      <c r="C520" s="3"/>
      <c r="D520" s="3"/>
      <c r="E520" s="3"/>
      <c r="F520" s="3"/>
      <c r="G520" s="3"/>
    </row>
    <row r="521">
      <c r="A521" s="4"/>
      <c r="B521" s="3"/>
      <c r="C521" s="3"/>
      <c r="D521" s="3"/>
      <c r="E521" s="3"/>
      <c r="F521" s="3"/>
      <c r="G521" s="3"/>
    </row>
    <row r="522">
      <c r="A522" s="4"/>
      <c r="B522" s="3"/>
      <c r="C522" s="3"/>
      <c r="D522" s="3"/>
      <c r="E522" s="3"/>
      <c r="F522" s="3"/>
      <c r="G522" s="3"/>
    </row>
    <row r="523">
      <c r="A523" s="4"/>
      <c r="B523" s="3"/>
      <c r="C523" s="3"/>
      <c r="D523" s="3"/>
      <c r="E523" s="3"/>
      <c r="F523" s="3"/>
      <c r="G523" s="3"/>
    </row>
    <row r="524">
      <c r="A524" s="4"/>
      <c r="B524" s="3"/>
      <c r="C524" s="3"/>
      <c r="D524" s="3"/>
      <c r="E524" s="3"/>
      <c r="F524" s="3"/>
      <c r="G524" s="3"/>
    </row>
    <row r="525">
      <c r="A525" s="4"/>
      <c r="B525" s="3"/>
      <c r="C525" s="3"/>
      <c r="D525" s="3"/>
      <c r="E525" s="3"/>
      <c r="F525" s="3"/>
      <c r="G525" s="3"/>
    </row>
    <row r="526">
      <c r="A526" s="4"/>
      <c r="B526" s="3"/>
      <c r="C526" s="3"/>
      <c r="D526" s="3"/>
      <c r="E526" s="3"/>
      <c r="F526" s="3"/>
      <c r="G526" s="3"/>
    </row>
    <row r="527">
      <c r="A527" s="4"/>
      <c r="B527" s="3"/>
      <c r="C527" s="3"/>
      <c r="D527" s="3"/>
      <c r="E527" s="3"/>
      <c r="F527" s="3"/>
      <c r="G527" s="3"/>
    </row>
    <row r="528">
      <c r="A528" s="4"/>
      <c r="B528" s="3"/>
      <c r="C528" s="3"/>
      <c r="D528" s="3"/>
      <c r="E528" s="3"/>
      <c r="F528" s="3"/>
      <c r="G528" s="3"/>
    </row>
    <row r="529">
      <c r="A529" s="4"/>
      <c r="B529" s="3"/>
      <c r="C529" s="3"/>
      <c r="D529" s="3"/>
      <c r="E529" s="3"/>
      <c r="F529" s="3"/>
      <c r="G529" s="3"/>
    </row>
    <row r="530">
      <c r="A530" s="4"/>
      <c r="B530" s="3"/>
      <c r="C530" s="3"/>
      <c r="D530" s="3"/>
      <c r="E530" s="3"/>
      <c r="F530" s="3"/>
      <c r="G530" s="3"/>
    </row>
    <row r="531">
      <c r="A531" s="4"/>
      <c r="B531" s="3"/>
      <c r="C531" s="3"/>
      <c r="D531" s="3"/>
      <c r="E531" s="3"/>
      <c r="F531" s="3"/>
      <c r="G531" s="3"/>
    </row>
    <row r="532">
      <c r="A532" s="4"/>
      <c r="B532" s="3"/>
      <c r="C532" s="3"/>
      <c r="D532" s="3"/>
      <c r="E532" s="3"/>
      <c r="F532" s="3"/>
      <c r="G532" s="3"/>
    </row>
    <row r="533">
      <c r="A533" s="4"/>
      <c r="B533" s="3"/>
      <c r="C533" s="3"/>
      <c r="D533" s="3"/>
      <c r="E533" s="3"/>
      <c r="F533" s="3"/>
      <c r="G533" s="3"/>
    </row>
    <row r="534">
      <c r="A534" s="4"/>
      <c r="B534" s="3"/>
      <c r="C534" s="3"/>
      <c r="D534" s="3"/>
      <c r="E534" s="3"/>
      <c r="F534" s="3"/>
      <c r="G534" s="3"/>
    </row>
    <row r="535">
      <c r="A535" s="4"/>
      <c r="B535" s="3"/>
      <c r="C535" s="3"/>
      <c r="D535" s="3"/>
      <c r="E535" s="3"/>
      <c r="F535" s="3"/>
      <c r="G535" s="3"/>
    </row>
    <row r="536">
      <c r="A536" s="4"/>
      <c r="B536" s="3"/>
      <c r="C536" s="3"/>
      <c r="D536" s="3"/>
      <c r="E536" s="3"/>
      <c r="F536" s="3"/>
      <c r="G536" s="3"/>
    </row>
    <row r="537">
      <c r="A537" s="4"/>
      <c r="B537" s="3"/>
      <c r="C537" s="3"/>
      <c r="D537" s="3"/>
      <c r="E537" s="3"/>
      <c r="F537" s="3"/>
      <c r="G537" s="3"/>
    </row>
    <row r="538">
      <c r="A538" s="4"/>
      <c r="B538" s="3"/>
      <c r="C538" s="3"/>
      <c r="D538" s="3"/>
      <c r="E538" s="3"/>
      <c r="F538" s="3"/>
      <c r="G538" s="3"/>
    </row>
    <row r="539">
      <c r="A539" s="4"/>
      <c r="B539" s="3"/>
      <c r="C539" s="3"/>
      <c r="D539" s="3"/>
      <c r="E539" s="3"/>
      <c r="F539" s="3"/>
      <c r="G539" s="3"/>
    </row>
    <row r="540">
      <c r="A540" s="4"/>
      <c r="B540" s="3"/>
      <c r="C540" s="3"/>
      <c r="D540" s="3"/>
      <c r="E540" s="3"/>
      <c r="F540" s="3"/>
      <c r="G540" s="3"/>
    </row>
    <row r="541">
      <c r="A541" s="4"/>
      <c r="B541" s="3"/>
      <c r="C541" s="3"/>
      <c r="D541" s="3"/>
      <c r="E541" s="3"/>
      <c r="F541" s="3"/>
      <c r="G541" s="3"/>
    </row>
    <row r="542">
      <c r="A542" s="4"/>
      <c r="B542" s="3"/>
      <c r="C542" s="3"/>
      <c r="D542" s="3"/>
      <c r="E542" s="3"/>
      <c r="F542" s="3"/>
      <c r="G542" s="3"/>
    </row>
    <row r="543">
      <c r="A543" s="4"/>
      <c r="B543" s="3"/>
      <c r="C543" s="3"/>
      <c r="D543" s="3"/>
      <c r="E543" s="3"/>
      <c r="F543" s="3"/>
      <c r="G543" s="3"/>
    </row>
    <row r="544">
      <c r="A544" s="4"/>
      <c r="B544" s="3"/>
      <c r="C544" s="3"/>
      <c r="D544" s="3"/>
      <c r="E544" s="3"/>
      <c r="F544" s="3"/>
      <c r="G544" s="3"/>
    </row>
    <row r="545">
      <c r="A545" s="4"/>
      <c r="B545" s="3"/>
      <c r="C545" s="3"/>
      <c r="D545" s="3"/>
      <c r="E545" s="3"/>
      <c r="F545" s="3"/>
      <c r="G545" s="3"/>
    </row>
    <row r="546">
      <c r="A546" s="4"/>
      <c r="B546" s="3"/>
      <c r="C546" s="3"/>
      <c r="D546" s="3"/>
      <c r="E546" s="3"/>
      <c r="F546" s="3"/>
      <c r="G546" s="3"/>
    </row>
    <row r="547">
      <c r="A547" s="4"/>
      <c r="B547" s="3"/>
      <c r="C547" s="3"/>
      <c r="D547" s="3"/>
      <c r="E547" s="3"/>
      <c r="F547" s="3"/>
      <c r="G547" s="3"/>
    </row>
    <row r="548">
      <c r="A548" s="4"/>
      <c r="B548" s="3"/>
      <c r="C548" s="3"/>
      <c r="D548" s="3"/>
      <c r="E548" s="3"/>
      <c r="F548" s="3"/>
      <c r="G548" s="3"/>
    </row>
    <row r="549">
      <c r="A549" s="4"/>
      <c r="B549" s="3"/>
      <c r="C549" s="3"/>
      <c r="D549" s="3"/>
      <c r="E549" s="3"/>
      <c r="F549" s="3"/>
      <c r="G549" s="3"/>
    </row>
    <row r="550">
      <c r="A550" s="4"/>
      <c r="B550" s="3"/>
      <c r="C550" s="3"/>
      <c r="D550" s="3"/>
      <c r="E550" s="3"/>
      <c r="F550" s="3"/>
      <c r="G550" s="3"/>
    </row>
    <row r="551">
      <c r="A551" s="4"/>
      <c r="B551" s="3"/>
      <c r="C551" s="3"/>
      <c r="D551" s="3"/>
      <c r="E551" s="3"/>
      <c r="F551" s="3"/>
      <c r="G551" s="3"/>
    </row>
    <row r="552">
      <c r="A552" s="4"/>
      <c r="B552" s="3"/>
      <c r="C552" s="3"/>
      <c r="D552" s="3"/>
      <c r="E552" s="3"/>
      <c r="F552" s="3"/>
      <c r="G552" s="3"/>
    </row>
    <row r="553">
      <c r="A553" s="4"/>
      <c r="B553" s="3"/>
      <c r="C553" s="3"/>
      <c r="D553" s="3"/>
      <c r="E553" s="3"/>
      <c r="F553" s="3"/>
      <c r="G553" s="3"/>
    </row>
    <row r="554">
      <c r="A554" s="4"/>
      <c r="B554" s="3"/>
      <c r="C554" s="3"/>
      <c r="D554" s="3"/>
      <c r="E554" s="3"/>
      <c r="F554" s="3"/>
      <c r="G554" s="3"/>
    </row>
    <row r="555">
      <c r="A555" s="4"/>
      <c r="B555" s="3"/>
      <c r="C555" s="3"/>
      <c r="D555" s="3"/>
      <c r="E555" s="3"/>
      <c r="F555" s="3"/>
      <c r="G555" s="3"/>
    </row>
    <row r="556">
      <c r="A556" s="4"/>
      <c r="B556" s="3"/>
      <c r="C556" s="3"/>
      <c r="D556" s="3"/>
      <c r="E556" s="3"/>
      <c r="F556" s="3"/>
      <c r="G556" s="3"/>
    </row>
    <row r="557">
      <c r="A557" s="4"/>
      <c r="B557" s="3"/>
      <c r="C557" s="3"/>
      <c r="D557" s="3"/>
      <c r="E557" s="3"/>
      <c r="F557" s="3"/>
      <c r="G557" s="3"/>
    </row>
    <row r="558">
      <c r="A558" s="4"/>
      <c r="B558" s="3"/>
      <c r="C558" s="3"/>
      <c r="D558" s="3"/>
      <c r="E558" s="3"/>
      <c r="F558" s="3"/>
      <c r="G558" s="3"/>
    </row>
    <row r="559">
      <c r="A559" s="4"/>
      <c r="B559" s="3"/>
      <c r="C559" s="3"/>
      <c r="D559" s="3"/>
      <c r="E559" s="3"/>
      <c r="F559" s="3"/>
      <c r="G559" s="3"/>
    </row>
    <row r="560">
      <c r="A560" s="4"/>
      <c r="B560" s="3"/>
      <c r="C560" s="3"/>
      <c r="D560" s="3"/>
      <c r="E560" s="3"/>
      <c r="F560" s="3"/>
      <c r="G560" s="3"/>
    </row>
    <row r="561">
      <c r="A561" s="4"/>
      <c r="B561" s="3"/>
      <c r="C561" s="3"/>
      <c r="D561" s="3"/>
      <c r="E561" s="3"/>
      <c r="F561" s="3"/>
      <c r="G561" s="3"/>
    </row>
    <row r="562">
      <c r="A562" s="4"/>
      <c r="B562" s="3"/>
      <c r="C562" s="3"/>
      <c r="D562" s="3"/>
      <c r="E562" s="3"/>
      <c r="F562" s="3"/>
      <c r="G562" s="3"/>
    </row>
    <row r="563">
      <c r="A563" s="4"/>
      <c r="B563" s="3"/>
      <c r="C563" s="3"/>
      <c r="D563" s="3"/>
      <c r="E563" s="3"/>
      <c r="F563" s="3"/>
      <c r="G563" s="3"/>
    </row>
    <row r="564">
      <c r="A564" s="4"/>
      <c r="B564" s="3"/>
      <c r="C564" s="3"/>
      <c r="D564" s="3"/>
      <c r="E564" s="3"/>
      <c r="F564" s="3"/>
      <c r="G564" s="3"/>
    </row>
    <row r="565">
      <c r="A565" s="4"/>
      <c r="B565" s="3"/>
      <c r="C565" s="3"/>
      <c r="D565" s="3"/>
      <c r="E565" s="3"/>
      <c r="F565" s="3"/>
      <c r="G565" s="3"/>
    </row>
    <row r="566">
      <c r="A566" s="4"/>
      <c r="B566" s="3"/>
      <c r="C566" s="3"/>
      <c r="D566" s="3"/>
      <c r="E566" s="3"/>
      <c r="F566" s="3"/>
      <c r="G566" s="3"/>
    </row>
    <row r="567">
      <c r="A567" s="4"/>
      <c r="B567" s="3"/>
      <c r="C567" s="3"/>
      <c r="D567" s="3"/>
      <c r="E567" s="3"/>
      <c r="F567" s="3"/>
      <c r="G567" s="3"/>
    </row>
    <row r="568">
      <c r="A568" s="4"/>
      <c r="B568" s="3"/>
      <c r="C568" s="3"/>
      <c r="D568" s="3"/>
      <c r="E568" s="3"/>
      <c r="F568" s="3"/>
      <c r="G568" s="3"/>
    </row>
    <row r="569">
      <c r="A569" s="4"/>
      <c r="B569" s="3"/>
      <c r="C569" s="3"/>
      <c r="D569" s="3"/>
      <c r="E569" s="3"/>
      <c r="F569" s="3"/>
      <c r="G569" s="3"/>
    </row>
    <row r="570">
      <c r="A570" s="4"/>
      <c r="B570" s="3"/>
      <c r="C570" s="3"/>
      <c r="D570" s="3"/>
      <c r="E570" s="3"/>
      <c r="F570" s="3"/>
      <c r="G570" s="3"/>
    </row>
    <row r="571">
      <c r="A571" s="4"/>
      <c r="B571" s="3"/>
      <c r="C571" s="3"/>
      <c r="D571" s="3"/>
      <c r="E571" s="3"/>
      <c r="F571" s="3"/>
      <c r="G571" s="3"/>
    </row>
    <row r="572">
      <c r="A572" s="4"/>
      <c r="B572" s="3"/>
      <c r="C572" s="3"/>
      <c r="D572" s="3"/>
      <c r="E572" s="3"/>
      <c r="F572" s="3"/>
      <c r="G572" s="3"/>
    </row>
    <row r="573">
      <c r="A573" s="4"/>
      <c r="B573" s="3"/>
      <c r="C573" s="3"/>
      <c r="D573" s="3"/>
      <c r="E573" s="3"/>
      <c r="F573" s="3"/>
      <c r="G573" s="3"/>
    </row>
    <row r="574">
      <c r="A574" s="4"/>
      <c r="B574" s="3"/>
      <c r="C574" s="3"/>
      <c r="D574" s="3"/>
      <c r="E574" s="3"/>
      <c r="F574" s="3"/>
      <c r="G574" s="3"/>
    </row>
    <row r="575">
      <c r="A575" s="4"/>
      <c r="B575" s="3"/>
      <c r="C575" s="3"/>
      <c r="D575" s="3"/>
      <c r="E575" s="3"/>
      <c r="F575" s="3"/>
      <c r="G575" s="3"/>
    </row>
    <row r="576">
      <c r="A576" s="4"/>
      <c r="B576" s="3"/>
      <c r="C576" s="3"/>
      <c r="D576" s="3"/>
      <c r="E576" s="3"/>
      <c r="F576" s="3"/>
      <c r="G576" s="3"/>
    </row>
    <row r="577">
      <c r="A577" s="4"/>
      <c r="B577" s="3"/>
      <c r="C577" s="3"/>
      <c r="D577" s="3"/>
      <c r="E577" s="3"/>
      <c r="F577" s="3"/>
      <c r="G577" s="3"/>
    </row>
    <row r="578">
      <c r="A578" s="4"/>
      <c r="B578" s="3"/>
      <c r="C578" s="3"/>
      <c r="D578" s="3"/>
      <c r="E578" s="3"/>
      <c r="F578" s="3"/>
      <c r="G578" s="3"/>
    </row>
    <row r="579">
      <c r="A579" s="4"/>
      <c r="B579" s="3"/>
      <c r="C579" s="3"/>
      <c r="D579" s="3"/>
      <c r="E579" s="3"/>
      <c r="F579" s="3"/>
      <c r="G579" s="3"/>
    </row>
    <row r="580">
      <c r="A580" s="4"/>
      <c r="B580" s="3"/>
      <c r="C580" s="3"/>
      <c r="D580" s="3"/>
      <c r="E580" s="3"/>
      <c r="F580" s="3"/>
      <c r="G580" s="3"/>
    </row>
    <row r="581">
      <c r="A581" s="4"/>
      <c r="B581" s="3"/>
      <c r="C581" s="3"/>
      <c r="D581" s="3"/>
      <c r="E581" s="3"/>
      <c r="F581" s="3"/>
      <c r="G581" s="3"/>
    </row>
    <row r="582">
      <c r="A582" s="4"/>
      <c r="B582" s="3"/>
      <c r="C582" s="3"/>
      <c r="D582" s="3"/>
      <c r="E582" s="3"/>
      <c r="F582" s="3"/>
      <c r="G582" s="3"/>
    </row>
    <row r="583">
      <c r="A583" s="4"/>
      <c r="B583" s="3"/>
      <c r="C583" s="3"/>
      <c r="D583" s="3"/>
      <c r="E583" s="3"/>
      <c r="F583" s="3"/>
      <c r="G583" s="3"/>
    </row>
    <row r="584">
      <c r="A584" s="4"/>
      <c r="B584" s="3"/>
      <c r="C584" s="3"/>
      <c r="D584" s="3"/>
      <c r="E584" s="3"/>
      <c r="F584" s="3"/>
      <c r="G584" s="3"/>
    </row>
    <row r="585">
      <c r="A585" s="4"/>
      <c r="B585" s="3"/>
      <c r="C585" s="3"/>
      <c r="D585" s="3"/>
      <c r="E585" s="3"/>
      <c r="F585" s="3"/>
      <c r="G585" s="3"/>
    </row>
    <row r="586">
      <c r="A586" s="4"/>
      <c r="B586" s="3"/>
      <c r="C586" s="3"/>
      <c r="D586" s="3"/>
      <c r="E586" s="3"/>
      <c r="F586" s="3"/>
      <c r="G586" s="3"/>
    </row>
    <row r="587">
      <c r="A587" s="4"/>
      <c r="B587" s="3"/>
      <c r="C587" s="3"/>
      <c r="D587" s="3"/>
      <c r="E587" s="3"/>
      <c r="F587" s="3"/>
      <c r="G587" s="3"/>
    </row>
    <row r="588">
      <c r="A588" s="4"/>
      <c r="B588" s="3"/>
      <c r="C588" s="3"/>
      <c r="D588" s="3"/>
      <c r="E588" s="3"/>
      <c r="F588" s="3"/>
      <c r="G588" s="3"/>
    </row>
    <row r="589">
      <c r="A589" s="4"/>
      <c r="B589" s="3"/>
      <c r="C589" s="3"/>
      <c r="D589" s="3"/>
      <c r="E589" s="3"/>
      <c r="F589" s="3"/>
      <c r="G589" s="3"/>
    </row>
    <row r="590">
      <c r="A590" s="4"/>
      <c r="B590" s="3"/>
      <c r="C590" s="3"/>
      <c r="D590" s="3"/>
      <c r="E590" s="3"/>
      <c r="F590" s="3"/>
      <c r="G590" s="3"/>
    </row>
    <row r="591">
      <c r="A591" s="4"/>
      <c r="B591" s="3"/>
      <c r="C591" s="3"/>
      <c r="D591" s="3"/>
      <c r="E591" s="3"/>
      <c r="F591" s="3"/>
      <c r="G591" s="3"/>
    </row>
    <row r="592">
      <c r="A592" s="4"/>
      <c r="B592" s="3"/>
      <c r="C592" s="3"/>
      <c r="D592" s="3"/>
      <c r="E592" s="3"/>
      <c r="F592" s="3"/>
      <c r="G592" s="3"/>
    </row>
    <row r="593">
      <c r="A593" s="4"/>
      <c r="B593" s="3"/>
      <c r="C593" s="3"/>
      <c r="D593" s="3"/>
      <c r="E593" s="3"/>
      <c r="F593" s="3"/>
      <c r="G593" s="3"/>
    </row>
    <row r="594">
      <c r="A594" s="4"/>
      <c r="B594" s="3"/>
      <c r="C594" s="3"/>
      <c r="D594" s="3"/>
      <c r="E594" s="3"/>
      <c r="F594" s="3"/>
      <c r="G594" s="3"/>
    </row>
    <row r="595">
      <c r="A595" s="4"/>
      <c r="B595" s="3"/>
      <c r="C595" s="3"/>
      <c r="D595" s="3"/>
      <c r="E595" s="3"/>
      <c r="F595" s="3"/>
      <c r="G595" s="3"/>
    </row>
    <row r="596">
      <c r="A596" s="4"/>
      <c r="B596" s="3"/>
      <c r="C596" s="3"/>
      <c r="D596" s="3"/>
      <c r="E596" s="3"/>
      <c r="F596" s="3"/>
      <c r="G596" s="3"/>
    </row>
    <row r="597">
      <c r="A597" s="4"/>
      <c r="B597" s="3"/>
      <c r="C597" s="3"/>
      <c r="D597" s="3"/>
      <c r="E597" s="3"/>
      <c r="F597" s="3"/>
      <c r="G597" s="3"/>
    </row>
    <row r="598">
      <c r="A598" s="4"/>
      <c r="B598" s="3"/>
      <c r="C598" s="3"/>
      <c r="D598" s="3"/>
      <c r="E598" s="3"/>
      <c r="F598" s="3"/>
      <c r="G598" s="3"/>
    </row>
    <row r="599">
      <c r="A599" s="4"/>
      <c r="B599" s="3"/>
      <c r="C599" s="3"/>
      <c r="D599" s="3"/>
      <c r="E599" s="3"/>
      <c r="F599" s="3"/>
      <c r="G599" s="3"/>
    </row>
    <row r="600">
      <c r="A600" s="4"/>
      <c r="B600" s="3"/>
      <c r="C600" s="3"/>
      <c r="D600" s="3"/>
      <c r="E600" s="3"/>
      <c r="F600" s="3"/>
      <c r="G600" s="3"/>
    </row>
    <row r="601">
      <c r="A601" s="4"/>
      <c r="B601" s="3"/>
      <c r="C601" s="3"/>
      <c r="D601" s="3"/>
      <c r="E601" s="3"/>
      <c r="F601" s="3"/>
      <c r="G601" s="3"/>
    </row>
    <row r="602">
      <c r="A602" s="4"/>
      <c r="B602" s="3"/>
      <c r="C602" s="3"/>
      <c r="D602" s="3"/>
      <c r="E602" s="3"/>
      <c r="F602" s="3"/>
      <c r="G602" s="3"/>
    </row>
    <row r="603">
      <c r="A603" s="4"/>
      <c r="B603" s="3"/>
      <c r="C603" s="3"/>
      <c r="D603" s="3"/>
      <c r="E603" s="3"/>
      <c r="F603" s="3"/>
      <c r="G603" s="3"/>
    </row>
    <row r="604">
      <c r="A604" s="4"/>
      <c r="B604" s="3"/>
      <c r="C604" s="3"/>
      <c r="D604" s="3"/>
      <c r="E604" s="3"/>
      <c r="F604" s="3"/>
      <c r="G604" s="3"/>
    </row>
    <row r="605">
      <c r="A605" s="4"/>
      <c r="B605" s="3"/>
      <c r="C605" s="3"/>
      <c r="D605" s="3"/>
      <c r="E605" s="3"/>
      <c r="F605" s="3"/>
      <c r="G605" s="3"/>
    </row>
    <row r="606">
      <c r="A606" s="4"/>
      <c r="B606" s="3"/>
      <c r="C606" s="3"/>
      <c r="D606" s="3"/>
      <c r="E606" s="3"/>
      <c r="F606" s="3"/>
      <c r="G606" s="3"/>
    </row>
    <row r="607">
      <c r="A607" s="4"/>
      <c r="B607" s="3"/>
      <c r="C607" s="3"/>
      <c r="D607" s="3"/>
      <c r="E607" s="3"/>
      <c r="F607" s="3"/>
      <c r="G607" s="3"/>
    </row>
    <row r="608">
      <c r="A608" s="4"/>
      <c r="B608" s="3"/>
      <c r="C608" s="3"/>
      <c r="D608" s="3"/>
      <c r="E608" s="3"/>
      <c r="F608" s="3"/>
      <c r="G608" s="3"/>
    </row>
    <row r="609">
      <c r="A609" s="4"/>
      <c r="B609" s="3"/>
      <c r="C609" s="3"/>
      <c r="D609" s="3"/>
      <c r="E609" s="3"/>
      <c r="F609" s="3"/>
      <c r="G609" s="3"/>
    </row>
    <row r="610">
      <c r="A610" s="4"/>
      <c r="B610" s="3"/>
      <c r="C610" s="3"/>
      <c r="D610" s="3"/>
      <c r="E610" s="3"/>
      <c r="F610" s="3"/>
      <c r="G610" s="3"/>
    </row>
    <row r="611">
      <c r="A611" s="4"/>
      <c r="B611" s="3"/>
      <c r="C611" s="3"/>
      <c r="D611" s="3"/>
      <c r="E611" s="3"/>
      <c r="F611" s="3"/>
      <c r="G611" s="3"/>
    </row>
    <row r="612">
      <c r="A612" s="4"/>
      <c r="B612" s="3"/>
      <c r="C612" s="3"/>
      <c r="D612" s="3"/>
      <c r="E612" s="3"/>
      <c r="F612" s="3"/>
      <c r="G612" s="3"/>
    </row>
    <row r="613">
      <c r="A613" s="4"/>
      <c r="B613" s="3"/>
      <c r="C613" s="3"/>
      <c r="D613" s="3"/>
      <c r="E613" s="3"/>
      <c r="F613" s="3"/>
      <c r="G613" s="3"/>
    </row>
    <row r="614">
      <c r="A614" s="4"/>
      <c r="B614" s="3"/>
      <c r="C614" s="3"/>
      <c r="D614" s="3"/>
      <c r="E614" s="3"/>
      <c r="F614" s="3"/>
      <c r="G614" s="3"/>
    </row>
    <row r="615">
      <c r="A615" s="4"/>
      <c r="B615" s="3"/>
      <c r="C615" s="3"/>
      <c r="D615" s="3"/>
      <c r="E615" s="3"/>
      <c r="F615" s="3"/>
      <c r="G615" s="3"/>
    </row>
    <row r="616">
      <c r="A616" s="4"/>
      <c r="B616" s="3"/>
      <c r="C616" s="3"/>
      <c r="D616" s="3"/>
      <c r="E616" s="3"/>
      <c r="F616" s="3"/>
      <c r="G616" s="3"/>
    </row>
    <row r="617">
      <c r="A617" s="4"/>
      <c r="B617" s="3"/>
      <c r="C617" s="3"/>
      <c r="D617" s="3"/>
      <c r="E617" s="3"/>
      <c r="F617" s="3"/>
      <c r="G617" s="3"/>
    </row>
    <row r="618">
      <c r="A618" s="4"/>
      <c r="B618" s="3"/>
      <c r="C618" s="3"/>
      <c r="D618" s="3"/>
      <c r="E618" s="3"/>
      <c r="F618" s="3"/>
      <c r="G618" s="3"/>
    </row>
    <row r="619">
      <c r="A619" s="4"/>
      <c r="B619" s="3"/>
      <c r="C619" s="3"/>
      <c r="D619" s="3"/>
      <c r="E619" s="3"/>
      <c r="F619" s="3"/>
      <c r="G619" s="3"/>
    </row>
    <row r="620">
      <c r="A620" s="4"/>
      <c r="B620" s="3"/>
      <c r="C620" s="3"/>
      <c r="D620" s="3"/>
      <c r="E620" s="3"/>
      <c r="F620" s="3"/>
      <c r="G620" s="3"/>
    </row>
    <row r="621">
      <c r="A621" s="4"/>
      <c r="B621" s="3"/>
      <c r="C621" s="3"/>
      <c r="D621" s="3"/>
      <c r="E621" s="3"/>
      <c r="F621" s="3"/>
      <c r="G621" s="3"/>
    </row>
    <row r="622">
      <c r="A622" s="4"/>
      <c r="B622" s="3"/>
      <c r="C622" s="3"/>
      <c r="D622" s="3"/>
      <c r="E622" s="3"/>
      <c r="F622" s="3"/>
      <c r="G622" s="3"/>
    </row>
    <row r="623">
      <c r="A623" s="4"/>
      <c r="B623" s="3"/>
      <c r="C623" s="3"/>
      <c r="D623" s="3"/>
      <c r="E623" s="3"/>
      <c r="F623" s="3"/>
      <c r="G623" s="3"/>
    </row>
    <row r="624">
      <c r="A624" s="4"/>
      <c r="B624" s="3"/>
      <c r="C624" s="3"/>
      <c r="D624" s="3"/>
      <c r="E624" s="3"/>
      <c r="F624" s="3"/>
      <c r="G624" s="3"/>
    </row>
    <row r="625">
      <c r="A625" s="4"/>
      <c r="B625" s="3"/>
      <c r="C625" s="3"/>
      <c r="D625" s="3"/>
      <c r="E625" s="3"/>
      <c r="F625" s="3"/>
      <c r="G625" s="3"/>
    </row>
    <row r="626">
      <c r="A626" s="4"/>
      <c r="B626" s="3"/>
      <c r="C626" s="3"/>
      <c r="D626" s="3"/>
      <c r="E626" s="3"/>
      <c r="F626" s="3"/>
      <c r="G626" s="3"/>
    </row>
    <row r="627">
      <c r="A627" s="4"/>
      <c r="B627" s="3"/>
      <c r="C627" s="3"/>
      <c r="D627" s="3"/>
      <c r="E627" s="3"/>
      <c r="F627" s="3"/>
      <c r="G627" s="3"/>
    </row>
    <row r="628">
      <c r="A628" s="4"/>
      <c r="B628" s="3"/>
      <c r="C628" s="3"/>
      <c r="D628" s="3"/>
      <c r="E628" s="3"/>
      <c r="F628" s="3"/>
      <c r="G628" s="3"/>
    </row>
    <row r="629">
      <c r="A629" s="4"/>
      <c r="B629" s="3"/>
      <c r="C629" s="3"/>
      <c r="D629" s="3"/>
      <c r="E629" s="3"/>
      <c r="F629" s="3"/>
      <c r="G629" s="3"/>
    </row>
    <row r="630">
      <c r="A630" s="4"/>
      <c r="B630" s="3"/>
      <c r="C630" s="3"/>
      <c r="D630" s="3"/>
      <c r="E630" s="3"/>
      <c r="F630" s="3"/>
      <c r="G630" s="3"/>
    </row>
    <row r="631">
      <c r="A631" s="4"/>
      <c r="B631" s="3"/>
      <c r="C631" s="3"/>
      <c r="D631" s="3"/>
      <c r="E631" s="3"/>
      <c r="F631" s="3"/>
      <c r="G631" s="3"/>
    </row>
    <row r="632">
      <c r="A632" s="4"/>
      <c r="B632" s="3"/>
      <c r="C632" s="3"/>
      <c r="D632" s="3"/>
      <c r="E632" s="3"/>
      <c r="F632" s="3"/>
      <c r="G632" s="3"/>
    </row>
    <row r="633">
      <c r="A633" s="4"/>
      <c r="B633" s="3"/>
      <c r="C633" s="3"/>
      <c r="D633" s="3"/>
      <c r="E633" s="3"/>
      <c r="F633" s="3"/>
      <c r="G633" s="3"/>
    </row>
    <row r="634">
      <c r="A634" s="4"/>
      <c r="B634" s="3"/>
      <c r="C634" s="3"/>
      <c r="D634" s="3"/>
      <c r="E634" s="3"/>
      <c r="F634" s="3"/>
      <c r="G634" s="3"/>
    </row>
    <row r="635">
      <c r="A635" s="4"/>
      <c r="B635" s="3"/>
      <c r="C635" s="3"/>
      <c r="D635" s="3"/>
      <c r="E635" s="3"/>
      <c r="F635" s="3"/>
      <c r="G635" s="3"/>
    </row>
    <row r="636">
      <c r="A636" s="4"/>
      <c r="B636" s="3"/>
      <c r="C636" s="3"/>
      <c r="D636" s="3"/>
      <c r="E636" s="3"/>
      <c r="F636" s="3"/>
      <c r="G636" s="3"/>
    </row>
    <row r="637">
      <c r="A637" s="4"/>
      <c r="B637" s="3"/>
      <c r="C637" s="3"/>
      <c r="D637" s="3"/>
      <c r="E637" s="3"/>
      <c r="F637" s="3"/>
      <c r="G637" s="3"/>
    </row>
    <row r="638">
      <c r="A638" s="4"/>
      <c r="B638" s="3"/>
      <c r="C638" s="3"/>
      <c r="D638" s="3"/>
      <c r="E638" s="3"/>
      <c r="F638" s="3"/>
      <c r="G638" s="3"/>
    </row>
    <row r="639">
      <c r="A639" s="4"/>
      <c r="B639" s="3"/>
      <c r="C639" s="3"/>
      <c r="D639" s="3"/>
      <c r="E639" s="3"/>
      <c r="F639" s="3"/>
      <c r="G639" s="3"/>
    </row>
    <row r="640">
      <c r="A640" s="4"/>
      <c r="B640" s="3"/>
      <c r="C640" s="3"/>
      <c r="D640" s="3"/>
      <c r="E640" s="3"/>
      <c r="F640" s="3"/>
      <c r="G640" s="3"/>
    </row>
    <row r="641">
      <c r="A641" s="4"/>
      <c r="B641" s="3"/>
      <c r="C641" s="3"/>
      <c r="D641" s="3"/>
      <c r="E641" s="3"/>
      <c r="F641" s="3"/>
      <c r="G641" s="3"/>
    </row>
    <row r="642">
      <c r="A642" s="4"/>
      <c r="B642" s="3"/>
      <c r="C642" s="3"/>
      <c r="D642" s="3"/>
      <c r="E642" s="3"/>
      <c r="F642" s="3"/>
      <c r="G642" s="3"/>
    </row>
    <row r="643">
      <c r="A643" s="4"/>
      <c r="B643" s="3"/>
      <c r="C643" s="3"/>
      <c r="D643" s="3"/>
      <c r="E643" s="3"/>
      <c r="F643" s="3"/>
      <c r="G643" s="3"/>
    </row>
    <row r="644">
      <c r="A644" s="4"/>
      <c r="B644" s="3"/>
      <c r="C644" s="3"/>
      <c r="D644" s="3"/>
      <c r="E644" s="3"/>
      <c r="F644" s="3"/>
      <c r="G644" s="3"/>
    </row>
    <row r="645">
      <c r="A645" s="4"/>
      <c r="B645" s="3"/>
      <c r="C645" s="3"/>
      <c r="D645" s="3"/>
      <c r="E645" s="3"/>
      <c r="F645" s="3"/>
      <c r="G645" s="3"/>
    </row>
    <row r="646">
      <c r="A646" s="4"/>
      <c r="B646" s="3"/>
      <c r="C646" s="3"/>
      <c r="D646" s="3"/>
      <c r="E646" s="3"/>
      <c r="F646" s="3"/>
      <c r="G646" s="3"/>
    </row>
    <row r="647">
      <c r="A647" s="4"/>
      <c r="B647" s="3"/>
      <c r="C647" s="3"/>
      <c r="D647" s="3"/>
      <c r="E647" s="3"/>
      <c r="F647" s="3"/>
      <c r="G647" s="3"/>
    </row>
    <row r="648">
      <c r="A648" s="4"/>
      <c r="B648" s="3"/>
      <c r="C648" s="3"/>
      <c r="D648" s="3"/>
      <c r="E648" s="3"/>
      <c r="F648" s="3"/>
      <c r="G648" s="3"/>
    </row>
    <row r="649">
      <c r="A649" s="4"/>
      <c r="B649" s="3"/>
      <c r="C649" s="3"/>
      <c r="D649" s="3"/>
      <c r="E649" s="3"/>
      <c r="F649" s="3"/>
      <c r="G649" s="3"/>
    </row>
    <row r="650">
      <c r="A650" s="4"/>
      <c r="B650" s="3"/>
      <c r="C650" s="3"/>
      <c r="D650" s="3"/>
      <c r="E650" s="3"/>
      <c r="F650" s="3"/>
      <c r="G650" s="3"/>
    </row>
    <row r="651">
      <c r="A651" s="4"/>
      <c r="B651" s="3"/>
      <c r="C651" s="3"/>
      <c r="D651" s="3"/>
      <c r="E651" s="3"/>
      <c r="F651" s="3"/>
      <c r="G651" s="3"/>
    </row>
    <row r="652">
      <c r="A652" s="4"/>
      <c r="B652" s="3"/>
      <c r="C652" s="3"/>
      <c r="D652" s="3"/>
      <c r="E652" s="3"/>
      <c r="F652" s="3"/>
      <c r="G652" s="3"/>
    </row>
    <row r="653">
      <c r="A653" s="4"/>
      <c r="B653" s="3"/>
      <c r="C653" s="3"/>
      <c r="D653" s="3"/>
      <c r="E653" s="3"/>
      <c r="F653" s="3"/>
      <c r="G653" s="3"/>
    </row>
    <row r="654">
      <c r="A654" s="4"/>
      <c r="B654" s="3"/>
      <c r="C654" s="3"/>
      <c r="D654" s="3"/>
      <c r="E654" s="3"/>
      <c r="F654" s="3"/>
      <c r="G654" s="3"/>
    </row>
    <row r="655">
      <c r="A655" s="4"/>
      <c r="B655" s="3"/>
      <c r="C655" s="3"/>
      <c r="D655" s="3"/>
      <c r="E655" s="3"/>
      <c r="F655" s="3"/>
      <c r="G655" s="3"/>
    </row>
    <row r="656">
      <c r="A656" s="4"/>
      <c r="B656" s="3"/>
      <c r="C656" s="3"/>
      <c r="D656" s="3"/>
      <c r="E656" s="3"/>
      <c r="F656" s="3"/>
      <c r="G656" s="3"/>
    </row>
    <row r="657">
      <c r="A657" s="4"/>
      <c r="B657" s="3"/>
      <c r="C657" s="3"/>
      <c r="D657" s="3"/>
      <c r="E657" s="3"/>
      <c r="F657" s="3"/>
      <c r="G657" s="3"/>
    </row>
    <row r="658">
      <c r="A658" s="4"/>
      <c r="B658" s="3"/>
      <c r="C658" s="3"/>
      <c r="D658" s="3"/>
      <c r="E658" s="3"/>
      <c r="F658" s="3"/>
      <c r="G658" s="3"/>
    </row>
    <row r="659">
      <c r="A659" s="4"/>
      <c r="B659" s="3"/>
      <c r="C659" s="3"/>
      <c r="D659" s="3"/>
      <c r="E659" s="3"/>
      <c r="F659" s="3"/>
      <c r="G659" s="3"/>
    </row>
    <row r="660">
      <c r="A660" s="4"/>
      <c r="B660" s="3"/>
      <c r="C660" s="3"/>
      <c r="D660" s="3"/>
      <c r="E660" s="3"/>
      <c r="F660" s="3"/>
      <c r="G660" s="3"/>
    </row>
    <row r="661">
      <c r="A661" s="4"/>
      <c r="B661" s="3"/>
      <c r="C661" s="3"/>
      <c r="D661" s="3"/>
      <c r="E661" s="3"/>
      <c r="F661" s="3"/>
      <c r="G661" s="3"/>
    </row>
    <row r="662">
      <c r="A662" s="4"/>
      <c r="B662" s="3"/>
      <c r="C662" s="3"/>
      <c r="D662" s="3"/>
      <c r="E662" s="3"/>
      <c r="F662" s="3"/>
      <c r="G662" s="3"/>
    </row>
    <row r="663">
      <c r="A663" s="4"/>
      <c r="B663" s="3"/>
      <c r="C663" s="3"/>
      <c r="D663" s="3"/>
      <c r="E663" s="3"/>
      <c r="F663" s="3"/>
      <c r="G663" s="3"/>
    </row>
    <row r="664">
      <c r="A664" s="4"/>
      <c r="B664" s="3"/>
      <c r="C664" s="3"/>
      <c r="D664" s="3"/>
      <c r="E664" s="3"/>
      <c r="F664" s="3"/>
      <c r="G664" s="3"/>
    </row>
    <row r="665">
      <c r="A665" s="4"/>
      <c r="B665" s="3"/>
      <c r="C665" s="3"/>
      <c r="D665" s="3"/>
      <c r="E665" s="3"/>
      <c r="F665" s="3"/>
      <c r="G665" s="3"/>
    </row>
    <row r="666">
      <c r="A666" s="4"/>
      <c r="B666" s="3"/>
      <c r="C666" s="3"/>
      <c r="D666" s="3"/>
      <c r="E666" s="3"/>
      <c r="F666" s="3"/>
      <c r="G666" s="3"/>
    </row>
    <row r="667">
      <c r="A667" s="4"/>
      <c r="B667" s="3"/>
      <c r="C667" s="3"/>
      <c r="D667" s="3"/>
      <c r="E667" s="3"/>
      <c r="F667" s="3"/>
      <c r="G667" s="3"/>
    </row>
    <row r="668">
      <c r="A668" s="4"/>
      <c r="B668" s="3"/>
      <c r="C668" s="3"/>
      <c r="D668" s="3"/>
      <c r="E668" s="3"/>
      <c r="F668" s="3"/>
      <c r="G668" s="3"/>
    </row>
    <row r="669">
      <c r="A669" s="4"/>
      <c r="B669" s="3"/>
      <c r="C669" s="3"/>
      <c r="D669" s="3"/>
      <c r="E669" s="3"/>
      <c r="F669" s="3"/>
      <c r="G669" s="3"/>
    </row>
    <row r="670">
      <c r="A670" s="4"/>
      <c r="B670" s="3"/>
      <c r="C670" s="3"/>
      <c r="D670" s="3"/>
      <c r="E670" s="3"/>
      <c r="F670" s="3"/>
      <c r="G670" s="3"/>
    </row>
    <row r="671">
      <c r="A671" s="4"/>
      <c r="B671" s="3"/>
      <c r="C671" s="3"/>
      <c r="D671" s="3"/>
      <c r="E671" s="3"/>
      <c r="F671" s="3"/>
      <c r="G671" s="3"/>
    </row>
    <row r="672">
      <c r="A672" s="4"/>
      <c r="B672" s="3"/>
      <c r="C672" s="3"/>
      <c r="D672" s="3"/>
      <c r="E672" s="3"/>
      <c r="F672" s="3"/>
      <c r="G672" s="3"/>
    </row>
    <row r="673">
      <c r="A673" s="4"/>
      <c r="B673" s="3"/>
      <c r="C673" s="3"/>
      <c r="D673" s="3"/>
      <c r="E673" s="3"/>
      <c r="F673" s="3"/>
      <c r="G673" s="3"/>
    </row>
    <row r="674">
      <c r="A674" s="4"/>
      <c r="B674" s="3"/>
      <c r="C674" s="3"/>
      <c r="D674" s="3"/>
      <c r="E674" s="3"/>
      <c r="F674" s="3"/>
      <c r="G674" s="3"/>
    </row>
    <row r="675">
      <c r="A675" s="4"/>
      <c r="B675" s="3"/>
      <c r="C675" s="3"/>
      <c r="D675" s="3"/>
      <c r="E675" s="3"/>
      <c r="F675" s="3"/>
      <c r="G675" s="3"/>
    </row>
    <row r="676">
      <c r="A676" s="4"/>
      <c r="B676" s="3"/>
      <c r="C676" s="3"/>
      <c r="D676" s="3"/>
      <c r="E676" s="3"/>
      <c r="F676" s="3"/>
      <c r="G676" s="3"/>
    </row>
    <row r="677">
      <c r="A677" s="4"/>
      <c r="B677" s="3"/>
      <c r="C677" s="3"/>
      <c r="D677" s="3"/>
      <c r="E677" s="3"/>
      <c r="F677" s="3"/>
      <c r="G677" s="3"/>
    </row>
    <row r="678">
      <c r="A678" s="4"/>
      <c r="B678" s="3"/>
      <c r="C678" s="3"/>
      <c r="D678" s="3"/>
      <c r="E678" s="3"/>
      <c r="F678" s="3"/>
      <c r="G678" s="3"/>
    </row>
    <row r="679">
      <c r="A679" s="4"/>
      <c r="B679" s="3"/>
      <c r="C679" s="3"/>
      <c r="D679" s="3"/>
      <c r="E679" s="3"/>
      <c r="F679" s="3"/>
      <c r="G679" s="3"/>
    </row>
    <row r="680">
      <c r="A680" s="4"/>
      <c r="B680" s="3"/>
      <c r="C680" s="3"/>
      <c r="D680" s="3"/>
      <c r="E680" s="3"/>
      <c r="F680" s="3"/>
      <c r="G680" s="3"/>
    </row>
    <row r="681">
      <c r="A681" s="4"/>
      <c r="B681" s="3"/>
      <c r="C681" s="3"/>
      <c r="D681" s="3"/>
      <c r="E681" s="3"/>
      <c r="F681" s="3"/>
      <c r="G681" s="3"/>
    </row>
    <row r="682">
      <c r="A682" s="4"/>
      <c r="B682" s="3"/>
      <c r="C682" s="3"/>
      <c r="D682" s="3"/>
      <c r="E682" s="3"/>
      <c r="F682" s="3"/>
      <c r="G682" s="3"/>
    </row>
    <row r="683">
      <c r="A683" s="4"/>
      <c r="B683" s="3"/>
      <c r="C683" s="3"/>
      <c r="D683" s="3"/>
      <c r="E683" s="3"/>
      <c r="F683" s="3"/>
      <c r="G683" s="3"/>
    </row>
    <row r="684">
      <c r="A684" s="4"/>
      <c r="B684" s="3"/>
      <c r="C684" s="3"/>
      <c r="D684" s="3"/>
      <c r="E684" s="3"/>
      <c r="F684" s="3"/>
      <c r="G684" s="3"/>
    </row>
    <row r="685">
      <c r="A685" s="4"/>
      <c r="B685" s="3"/>
      <c r="C685" s="3"/>
      <c r="D685" s="3"/>
      <c r="E685" s="3"/>
      <c r="F685" s="3"/>
      <c r="G685" s="3"/>
    </row>
    <row r="686">
      <c r="A686" s="4"/>
      <c r="B686" s="3"/>
      <c r="C686" s="3"/>
      <c r="D686" s="3"/>
      <c r="E686" s="3"/>
      <c r="F686" s="3"/>
      <c r="G686" s="3"/>
    </row>
    <row r="687">
      <c r="A687" s="4"/>
      <c r="B687" s="3"/>
      <c r="C687" s="3"/>
      <c r="D687" s="3"/>
      <c r="E687" s="3"/>
      <c r="F687" s="3"/>
      <c r="G687" s="3"/>
    </row>
    <row r="688">
      <c r="A688" s="4"/>
      <c r="B688" s="3"/>
      <c r="C688" s="3"/>
      <c r="D688" s="3"/>
      <c r="E688" s="3"/>
      <c r="F688" s="3"/>
      <c r="G688" s="3"/>
    </row>
    <row r="689">
      <c r="A689" s="4"/>
      <c r="B689" s="3"/>
      <c r="C689" s="3"/>
      <c r="D689" s="3"/>
      <c r="E689" s="3"/>
      <c r="F689" s="3"/>
      <c r="G689" s="3"/>
    </row>
    <row r="690">
      <c r="A690" s="4"/>
      <c r="B690" s="3"/>
      <c r="C690" s="3"/>
      <c r="D690" s="3"/>
      <c r="E690" s="3"/>
      <c r="F690" s="3"/>
      <c r="G690" s="3"/>
    </row>
    <row r="691">
      <c r="A691" s="4"/>
      <c r="B691" s="3"/>
      <c r="C691" s="3"/>
      <c r="D691" s="3"/>
      <c r="E691" s="3"/>
      <c r="F691" s="3"/>
      <c r="G691" s="3"/>
    </row>
    <row r="692">
      <c r="A692" s="4"/>
      <c r="B692" s="3"/>
      <c r="C692" s="3"/>
      <c r="D692" s="3"/>
      <c r="E692" s="3"/>
      <c r="F692" s="3"/>
      <c r="G692" s="3"/>
    </row>
    <row r="693">
      <c r="A693" s="4"/>
      <c r="B693" s="3"/>
      <c r="C693" s="3"/>
      <c r="D693" s="3"/>
      <c r="E693" s="3"/>
      <c r="F693" s="3"/>
      <c r="G693" s="3"/>
    </row>
    <row r="694">
      <c r="A694" s="4"/>
      <c r="B694" s="3"/>
      <c r="C694" s="3"/>
      <c r="D694" s="3"/>
      <c r="E694" s="3"/>
      <c r="F694" s="3"/>
      <c r="G694" s="3"/>
    </row>
    <row r="695">
      <c r="A695" s="4"/>
      <c r="B695" s="3"/>
      <c r="C695" s="3"/>
      <c r="D695" s="3"/>
      <c r="E695" s="3"/>
      <c r="F695" s="3"/>
      <c r="G695" s="3"/>
    </row>
    <row r="696">
      <c r="A696" s="4"/>
      <c r="B696" s="3"/>
      <c r="C696" s="3"/>
      <c r="D696" s="3"/>
      <c r="E696" s="3"/>
      <c r="F696" s="3"/>
      <c r="G696" s="3"/>
    </row>
    <row r="697">
      <c r="A697" s="4"/>
      <c r="B697" s="3"/>
      <c r="C697" s="3"/>
      <c r="D697" s="3"/>
      <c r="E697" s="3"/>
      <c r="F697" s="3"/>
      <c r="G697" s="3"/>
    </row>
    <row r="698">
      <c r="A698" s="4"/>
      <c r="B698" s="3"/>
      <c r="C698" s="3"/>
      <c r="D698" s="3"/>
      <c r="E698" s="3"/>
      <c r="F698" s="3"/>
      <c r="G698" s="3"/>
    </row>
    <row r="699">
      <c r="A699" s="4"/>
      <c r="B699" s="3"/>
      <c r="C699" s="3"/>
      <c r="D699" s="3"/>
      <c r="E699" s="3"/>
      <c r="F699" s="3"/>
      <c r="G699" s="3"/>
    </row>
    <row r="700">
      <c r="A700" s="4"/>
      <c r="B700" s="3"/>
      <c r="C700" s="3"/>
      <c r="D700" s="3"/>
      <c r="E700" s="3"/>
      <c r="F700" s="3"/>
      <c r="G700" s="3"/>
    </row>
    <row r="701">
      <c r="A701" s="4"/>
      <c r="B701" s="3"/>
      <c r="C701" s="3"/>
      <c r="D701" s="3"/>
      <c r="E701" s="3"/>
      <c r="F701" s="3"/>
      <c r="G701" s="3"/>
    </row>
    <row r="702">
      <c r="A702" s="4"/>
      <c r="B702" s="3"/>
      <c r="C702" s="3"/>
      <c r="D702" s="3"/>
      <c r="E702" s="3"/>
      <c r="F702" s="3"/>
      <c r="G702" s="3"/>
    </row>
    <row r="703">
      <c r="A703" s="4"/>
      <c r="B703" s="3"/>
      <c r="C703" s="3"/>
      <c r="D703" s="3"/>
      <c r="E703" s="3"/>
      <c r="F703" s="3"/>
      <c r="G703" s="3"/>
    </row>
    <row r="704">
      <c r="A704" s="4"/>
      <c r="B704" s="3"/>
      <c r="C704" s="3"/>
      <c r="D704" s="3"/>
      <c r="E704" s="3"/>
      <c r="F704" s="3"/>
      <c r="G704" s="3"/>
    </row>
    <row r="705">
      <c r="A705" s="4"/>
      <c r="B705" s="3"/>
      <c r="C705" s="3"/>
      <c r="D705" s="3"/>
      <c r="E705" s="3"/>
      <c r="F705" s="3"/>
      <c r="G705" s="3"/>
    </row>
    <row r="706">
      <c r="A706" s="4"/>
      <c r="B706" s="3"/>
      <c r="C706" s="3"/>
      <c r="D706" s="3"/>
      <c r="E706" s="3"/>
      <c r="F706" s="3"/>
      <c r="G706" s="3"/>
    </row>
    <row r="707">
      <c r="A707" s="4"/>
      <c r="B707" s="3"/>
      <c r="C707" s="3"/>
      <c r="D707" s="3"/>
      <c r="E707" s="3"/>
      <c r="F707" s="3"/>
      <c r="G707" s="3"/>
    </row>
    <row r="708">
      <c r="A708" s="4"/>
      <c r="B708" s="3"/>
      <c r="C708" s="3"/>
      <c r="D708" s="3"/>
      <c r="E708" s="3"/>
      <c r="F708" s="3"/>
      <c r="G708" s="3"/>
    </row>
    <row r="709">
      <c r="A709" s="4"/>
      <c r="B709" s="3"/>
      <c r="C709" s="3"/>
      <c r="D709" s="3"/>
      <c r="E709" s="3"/>
      <c r="F709" s="3"/>
      <c r="G709" s="3"/>
    </row>
    <row r="710">
      <c r="A710" s="4"/>
      <c r="B710" s="3"/>
      <c r="C710" s="3"/>
      <c r="D710" s="3"/>
      <c r="E710" s="3"/>
      <c r="F710" s="3"/>
      <c r="G710" s="3"/>
    </row>
    <row r="711">
      <c r="A711" s="4"/>
      <c r="B711" s="3"/>
      <c r="C711" s="3"/>
      <c r="D711" s="3"/>
      <c r="E711" s="3"/>
      <c r="F711" s="3"/>
      <c r="G711" s="3"/>
    </row>
    <row r="712">
      <c r="A712" s="4"/>
      <c r="B712" s="3"/>
      <c r="C712" s="3"/>
      <c r="D712" s="3"/>
      <c r="E712" s="3"/>
      <c r="F712" s="3"/>
      <c r="G712" s="3"/>
    </row>
    <row r="713">
      <c r="A713" s="4"/>
      <c r="B713" s="3"/>
      <c r="C713" s="3"/>
      <c r="D713" s="3"/>
      <c r="E713" s="3"/>
      <c r="F713" s="3"/>
      <c r="G713" s="3"/>
    </row>
    <row r="714">
      <c r="A714" s="4"/>
      <c r="B714" s="3"/>
      <c r="C714" s="3"/>
      <c r="D714" s="3"/>
      <c r="E714" s="3"/>
      <c r="F714" s="3"/>
      <c r="G714" s="3"/>
    </row>
    <row r="715">
      <c r="A715" s="4"/>
      <c r="B715" s="3"/>
      <c r="C715" s="3"/>
      <c r="D715" s="3"/>
      <c r="E715" s="3"/>
      <c r="F715" s="3"/>
      <c r="G715" s="3"/>
    </row>
    <row r="716">
      <c r="A716" s="4"/>
      <c r="B716" s="3"/>
      <c r="C716" s="3"/>
      <c r="D716" s="3"/>
      <c r="E716" s="3"/>
      <c r="F716" s="3"/>
      <c r="G716" s="3"/>
    </row>
    <row r="717">
      <c r="A717" s="4"/>
      <c r="B717" s="3"/>
      <c r="C717" s="3"/>
      <c r="D717" s="3"/>
      <c r="E717" s="3"/>
      <c r="F717" s="3"/>
      <c r="G717" s="3"/>
    </row>
    <row r="718">
      <c r="A718" s="4"/>
      <c r="B718" s="3"/>
      <c r="C718" s="3"/>
      <c r="D718" s="3"/>
      <c r="E718" s="3"/>
      <c r="F718" s="3"/>
      <c r="G718" s="3"/>
    </row>
    <row r="719">
      <c r="A719" s="4"/>
      <c r="B719" s="3"/>
      <c r="C719" s="3"/>
      <c r="D719" s="3"/>
      <c r="E719" s="3"/>
      <c r="F719" s="3"/>
      <c r="G719" s="3"/>
    </row>
    <row r="720">
      <c r="A720" s="4"/>
      <c r="B720" s="3"/>
      <c r="C720" s="3"/>
      <c r="D720" s="3"/>
      <c r="E720" s="3"/>
      <c r="F720" s="3"/>
      <c r="G720" s="3"/>
    </row>
    <row r="721">
      <c r="A721" s="4"/>
      <c r="B721" s="3"/>
      <c r="C721" s="3"/>
      <c r="D721" s="3"/>
      <c r="E721" s="3"/>
      <c r="F721" s="3"/>
      <c r="G721" s="3"/>
    </row>
    <row r="722">
      <c r="A722" s="4"/>
      <c r="B722" s="3"/>
      <c r="C722" s="3"/>
      <c r="D722" s="3"/>
      <c r="E722" s="3"/>
      <c r="F722" s="3"/>
      <c r="G722" s="3"/>
    </row>
    <row r="723">
      <c r="A723" s="4"/>
      <c r="B723" s="3"/>
      <c r="C723" s="3"/>
      <c r="D723" s="3"/>
      <c r="E723" s="3"/>
      <c r="F723" s="3"/>
      <c r="G723" s="3"/>
    </row>
    <row r="724">
      <c r="A724" s="4"/>
      <c r="B724" s="3"/>
      <c r="C724" s="3"/>
      <c r="D724" s="3"/>
      <c r="E724" s="3"/>
      <c r="F724" s="3"/>
      <c r="G724" s="3"/>
    </row>
    <row r="725">
      <c r="A725" s="4"/>
      <c r="B725" s="3"/>
      <c r="C725" s="3"/>
      <c r="D725" s="3"/>
      <c r="E725" s="3"/>
      <c r="F725" s="3"/>
      <c r="G725" s="3"/>
    </row>
    <row r="726">
      <c r="A726" s="4"/>
      <c r="B726" s="3"/>
      <c r="C726" s="3"/>
      <c r="D726" s="3"/>
      <c r="E726" s="3"/>
      <c r="F726" s="3"/>
      <c r="G726" s="3"/>
    </row>
    <row r="727">
      <c r="A727" s="4"/>
      <c r="B727" s="3"/>
      <c r="C727" s="3"/>
      <c r="D727" s="3"/>
      <c r="E727" s="3"/>
      <c r="F727" s="3"/>
      <c r="G727" s="3"/>
    </row>
    <row r="728">
      <c r="A728" s="4"/>
      <c r="B728" s="3"/>
      <c r="C728" s="3"/>
      <c r="D728" s="3"/>
      <c r="E728" s="3"/>
      <c r="F728" s="3"/>
      <c r="G728" s="3"/>
    </row>
    <row r="729">
      <c r="A729" s="4"/>
      <c r="B729" s="3"/>
      <c r="C729" s="3"/>
      <c r="D729" s="3"/>
      <c r="E729" s="3"/>
      <c r="F729" s="3"/>
      <c r="G729" s="3"/>
    </row>
    <row r="730">
      <c r="A730" s="4"/>
      <c r="B730" s="3"/>
      <c r="C730" s="3"/>
      <c r="D730" s="3"/>
      <c r="E730" s="3"/>
      <c r="F730" s="3"/>
      <c r="G730" s="3"/>
    </row>
    <row r="731">
      <c r="A731" s="4"/>
      <c r="B731" s="3"/>
      <c r="C731" s="3"/>
      <c r="D731" s="3"/>
      <c r="E731" s="3"/>
      <c r="F731" s="3"/>
      <c r="G731" s="3"/>
    </row>
    <row r="732">
      <c r="A732" s="4"/>
      <c r="B732" s="3"/>
      <c r="C732" s="3"/>
      <c r="D732" s="3"/>
      <c r="E732" s="3"/>
      <c r="F732" s="3"/>
      <c r="G732" s="3"/>
    </row>
    <row r="733">
      <c r="A733" s="4"/>
      <c r="B733" s="3"/>
      <c r="C733" s="3"/>
      <c r="D733" s="3"/>
      <c r="E733" s="3"/>
      <c r="F733" s="3"/>
      <c r="G733" s="3"/>
    </row>
    <row r="734">
      <c r="A734" s="4"/>
      <c r="B734" s="3"/>
      <c r="C734" s="3"/>
      <c r="D734" s="3"/>
      <c r="E734" s="3"/>
      <c r="F734" s="3"/>
      <c r="G734" s="3"/>
    </row>
    <row r="735">
      <c r="A735" s="4"/>
      <c r="B735" s="3"/>
      <c r="C735" s="3"/>
      <c r="D735" s="3"/>
      <c r="E735" s="3"/>
      <c r="F735" s="3"/>
      <c r="G735" s="3"/>
    </row>
    <row r="736">
      <c r="A736" s="4"/>
      <c r="B736" s="3"/>
      <c r="C736" s="3"/>
      <c r="D736" s="3"/>
      <c r="E736" s="3"/>
      <c r="F736" s="3"/>
      <c r="G736" s="3"/>
    </row>
    <row r="737">
      <c r="A737" s="4"/>
      <c r="B737" s="3"/>
      <c r="C737" s="3"/>
      <c r="D737" s="3"/>
      <c r="E737" s="3"/>
      <c r="F737" s="3"/>
      <c r="G737" s="3"/>
    </row>
    <row r="738">
      <c r="A738" s="4"/>
      <c r="B738" s="3"/>
      <c r="C738" s="3"/>
      <c r="D738" s="3"/>
      <c r="E738" s="3"/>
      <c r="F738" s="3"/>
      <c r="G738" s="3"/>
    </row>
    <row r="739">
      <c r="A739" s="4"/>
      <c r="B739" s="3"/>
      <c r="C739" s="3"/>
      <c r="D739" s="3"/>
      <c r="E739" s="3"/>
      <c r="F739" s="3"/>
      <c r="G739" s="3"/>
    </row>
    <row r="740">
      <c r="A740" s="4"/>
      <c r="B740" s="3"/>
      <c r="C740" s="3"/>
      <c r="D740" s="3"/>
      <c r="E740" s="3"/>
      <c r="F740" s="3"/>
      <c r="G740" s="3"/>
    </row>
    <row r="741">
      <c r="A741" s="4"/>
      <c r="B741" s="3"/>
      <c r="C741" s="3"/>
      <c r="D741" s="3"/>
      <c r="E741" s="3"/>
      <c r="F741" s="3"/>
      <c r="G741" s="3"/>
    </row>
    <row r="742">
      <c r="A742" s="4"/>
      <c r="B742" s="3"/>
      <c r="C742" s="3"/>
      <c r="D742" s="3"/>
      <c r="E742" s="3"/>
      <c r="F742" s="3"/>
      <c r="G742" s="3"/>
    </row>
    <row r="743">
      <c r="A743" s="4"/>
      <c r="B743" s="3"/>
      <c r="C743" s="3"/>
      <c r="D743" s="3"/>
      <c r="E743" s="3"/>
      <c r="F743" s="3"/>
      <c r="G743" s="3"/>
    </row>
    <row r="744">
      <c r="A744" s="4"/>
      <c r="B744" s="3"/>
      <c r="C744" s="3"/>
      <c r="D744" s="3"/>
      <c r="E744" s="3"/>
      <c r="F744" s="3"/>
      <c r="G744" s="3"/>
    </row>
    <row r="745">
      <c r="A745" s="4"/>
      <c r="B745" s="3"/>
      <c r="C745" s="3"/>
      <c r="D745" s="3"/>
      <c r="E745" s="3"/>
      <c r="F745" s="3"/>
      <c r="G745" s="3"/>
    </row>
    <row r="746">
      <c r="A746" s="4"/>
      <c r="B746" s="3"/>
      <c r="C746" s="3"/>
      <c r="D746" s="3"/>
      <c r="E746" s="3"/>
      <c r="F746" s="3"/>
      <c r="G746" s="3"/>
    </row>
    <row r="747">
      <c r="A747" s="4"/>
      <c r="B747" s="3"/>
      <c r="C747" s="3"/>
      <c r="D747" s="3"/>
      <c r="E747" s="3"/>
      <c r="F747" s="3"/>
      <c r="G747" s="3"/>
    </row>
    <row r="748">
      <c r="A748" s="4"/>
      <c r="B748" s="3"/>
      <c r="C748" s="3"/>
      <c r="D748" s="3"/>
      <c r="E748" s="3"/>
      <c r="F748" s="3"/>
      <c r="G748" s="3"/>
    </row>
    <row r="749">
      <c r="A749" s="4"/>
      <c r="B749" s="3"/>
      <c r="C749" s="3"/>
      <c r="D749" s="3"/>
      <c r="E749" s="3"/>
      <c r="F749" s="3"/>
      <c r="G749" s="3"/>
    </row>
    <row r="750">
      <c r="A750" s="4"/>
      <c r="B750" s="3"/>
      <c r="C750" s="3"/>
      <c r="D750" s="3"/>
      <c r="E750" s="3"/>
      <c r="F750" s="3"/>
      <c r="G750" s="3"/>
    </row>
    <row r="751">
      <c r="A751" s="4"/>
      <c r="B751" s="3"/>
      <c r="C751" s="3"/>
      <c r="D751" s="3"/>
      <c r="E751" s="3"/>
      <c r="F751" s="3"/>
      <c r="G751" s="3"/>
    </row>
    <row r="752">
      <c r="A752" s="4"/>
      <c r="B752" s="3"/>
      <c r="C752" s="3"/>
      <c r="D752" s="3"/>
      <c r="E752" s="3"/>
      <c r="F752" s="3"/>
      <c r="G752" s="3"/>
    </row>
    <row r="753">
      <c r="A753" s="4"/>
      <c r="B753" s="3"/>
      <c r="C753" s="3"/>
      <c r="D753" s="3"/>
      <c r="E753" s="3"/>
      <c r="F753" s="3"/>
      <c r="G753" s="3"/>
    </row>
    <row r="754">
      <c r="A754" s="4"/>
      <c r="B754" s="3"/>
      <c r="C754" s="3"/>
      <c r="D754" s="3"/>
      <c r="E754" s="3"/>
      <c r="F754" s="3"/>
      <c r="G754" s="3"/>
    </row>
    <row r="755">
      <c r="A755" s="4"/>
      <c r="B755" s="3"/>
      <c r="C755" s="3"/>
      <c r="D755" s="3"/>
      <c r="E755" s="3"/>
      <c r="F755" s="3"/>
      <c r="G755" s="3"/>
    </row>
    <row r="756">
      <c r="A756" s="4"/>
      <c r="B756" s="3"/>
      <c r="C756" s="3"/>
      <c r="D756" s="3"/>
      <c r="E756" s="3"/>
      <c r="F756" s="3"/>
      <c r="G756" s="3"/>
    </row>
    <row r="757">
      <c r="A757" s="4"/>
      <c r="B757" s="3"/>
      <c r="C757" s="3"/>
      <c r="D757" s="3"/>
      <c r="E757" s="3"/>
      <c r="F757" s="3"/>
      <c r="G757" s="3"/>
    </row>
    <row r="758">
      <c r="A758" s="4"/>
      <c r="B758" s="3"/>
      <c r="C758" s="3"/>
      <c r="D758" s="3"/>
      <c r="E758" s="3"/>
      <c r="F758" s="3"/>
      <c r="G758" s="3"/>
    </row>
    <row r="759">
      <c r="A759" s="4"/>
      <c r="B759" s="3"/>
      <c r="C759" s="3"/>
      <c r="D759" s="3"/>
      <c r="E759" s="3"/>
      <c r="F759" s="3"/>
      <c r="G759" s="3"/>
    </row>
    <row r="760">
      <c r="A760" s="4"/>
      <c r="B760" s="3"/>
      <c r="C760" s="3"/>
      <c r="D760" s="3"/>
      <c r="E760" s="3"/>
      <c r="F760" s="3"/>
      <c r="G760" s="3"/>
    </row>
    <row r="761">
      <c r="A761" s="4"/>
      <c r="B761" s="3"/>
      <c r="C761" s="3"/>
      <c r="D761" s="3"/>
      <c r="E761" s="3"/>
      <c r="F761" s="3"/>
      <c r="G761" s="3"/>
    </row>
    <row r="762">
      <c r="A762" s="4"/>
      <c r="B762" s="3"/>
      <c r="C762" s="3"/>
      <c r="D762" s="3"/>
      <c r="E762" s="3"/>
      <c r="F762" s="3"/>
      <c r="G762" s="3"/>
    </row>
    <row r="763">
      <c r="A763" s="4"/>
      <c r="B763" s="3"/>
      <c r="C763" s="3"/>
      <c r="D763" s="3"/>
      <c r="E763" s="3"/>
      <c r="F763" s="3"/>
      <c r="G763" s="3"/>
    </row>
    <row r="764">
      <c r="A764" s="4"/>
      <c r="B764" s="3"/>
      <c r="C764" s="3"/>
      <c r="D764" s="3"/>
      <c r="E764" s="3"/>
      <c r="F764" s="3"/>
      <c r="G764" s="3"/>
    </row>
    <row r="765">
      <c r="A765" s="4"/>
      <c r="B765" s="3"/>
      <c r="C765" s="3"/>
      <c r="D765" s="3"/>
      <c r="E765" s="3"/>
      <c r="F765" s="3"/>
      <c r="G765" s="3"/>
    </row>
    <row r="766">
      <c r="A766" s="4"/>
      <c r="B766" s="3"/>
      <c r="C766" s="3"/>
      <c r="D766" s="3"/>
      <c r="E766" s="3"/>
      <c r="F766" s="3"/>
      <c r="G766" s="3"/>
    </row>
    <row r="767">
      <c r="A767" s="4"/>
      <c r="B767" s="3"/>
      <c r="C767" s="3"/>
      <c r="D767" s="3"/>
      <c r="E767" s="3"/>
      <c r="F767" s="3"/>
      <c r="G767" s="3"/>
    </row>
    <row r="768">
      <c r="A768" s="4"/>
      <c r="B768" s="3"/>
      <c r="C768" s="3"/>
      <c r="D768" s="3"/>
      <c r="E768" s="3"/>
      <c r="F768" s="3"/>
      <c r="G768" s="3"/>
    </row>
    <row r="769">
      <c r="A769" s="4"/>
      <c r="B769" s="3"/>
      <c r="C769" s="3"/>
      <c r="D769" s="3"/>
      <c r="E769" s="3"/>
      <c r="F769" s="3"/>
      <c r="G769" s="3"/>
    </row>
    <row r="770">
      <c r="A770" s="4"/>
      <c r="B770" s="3"/>
      <c r="C770" s="3"/>
      <c r="D770" s="3"/>
      <c r="E770" s="3"/>
      <c r="F770" s="3"/>
      <c r="G770" s="3"/>
    </row>
    <row r="771">
      <c r="A771" s="4"/>
      <c r="B771" s="3"/>
      <c r="C771" s="3"/>
      <c r="D771" s="3"/>
      <c r="E771" s="3"/>
      <c r="F771" s="3"/>
      <c r="G771" s="3"/>
    </row>
    <row r="772">
      <c r="A772" s="4"/>
      <c r="B772" s="3"/>
      <c r="C772" s="3"/>
      <c r="D772" s="3"/>
      <c r="E772" s="3"/>
      <c r="F772" s="3"/>
      <c r="G772" s="3"/>
    </row>
    <row r="773">
      <c r="A773" s="4"/>
      <c r="B773" s="3"/>
      <c r="C773" s="3"/>
      <c r="D773" s="3"/>
      <c r="E773" s="3"/>
      <c r="F773" s="3"/>
      <c r="G773" s="3"/>
    </row>
    <row r="774">
      <c r="A774" s="4"/>
      <c r="B774" s="3"/>
      <c r="C774" s="3"/>
      <c r="D774" s="3"/>
      <c r="E774" s="3"/>
      <c r="F774" s="3"/>
      <c r="G774" s="3"/>
    </row>
    <row r="775">
      <c r="A775" s="4"/>
      <c r="B775" s="3"/>
      <c r="C775" s="3"/>
      <c r="D775" s="3"/>
      <c r="E775" s="3"/>
      <c r="F775" s="3"/>
      <c r="G775" s="3"/>
    </row>
    <row r="776">
      <c r="A776" s="4"/>
      <c r="B776" s="3"/>
      <c r="C776" s="3"/>
      <c r="D776" s="3"/>
      <c r="E776" s="3"/>
      <c r="F776" s="3"/>
      <c r="G776" s="3"/>
    </row>
    <row r="777">
      <c r="A777" s="4"/>
      <c r="B777" s="3"/>
      <c r="C777" s="3"/>
      <c r="D777" s="3"/>
      <c r="E777" s="3"/>
      <c r="F777" s="3"/>
      <c r="G777" s="3"/>
    </row>
    <row r="778">
      <c r="A778" s="4"/>
      <c r="B778" s="3"/>
      <c r="C778" s="3"/>
      <c r="D778" s="3"/>
      <c r="E778" s="3"/>
      <c r="F778" s="3"/>
      <c r="G778" s="3"/>
    </row>
    <row r="779">
      <c r="A779" s="4"/>
      <c r="B779" s="3"/>
      <c r="C779" s="3"/>
      <c r="D779" s="3"/>
      <c r="E779" s="3"/>
      <c r="F779" s="3"/>
      <c r="G779" s="3"/>
    </row>
    <row r="780">
      <c r="A780" s="4"/>
      <c r="B780" s="3"/>
      <c r="C780" s="3"/>
      <c r="D780" s="3"/>
      <c r="E780" s="3"/>
      <c r="F780" s="3"/>
      <c r="G780" s="3"/>
    </row>
    <row r="781">
      <c r="A781" s="4"/>
      <c r="B781" s="3"/>
      <c r="C781" s="3"/>
      <c r="D781" s="3"/>
      <c r="E781" s="3"/>
      <c r="F781" s="3"/>
      <c r="G781" s="3"/>
    </row>
    <row r="782">
      <c r="A782" s="4"/>
      <c r="B782" s="3"/>
      <c r="C782" s="3"/>
      <c r="D782" s="3"/>
      <c r="E782" s="3"/>
      <c r="F782" s="3"/>
      <c r="G782" s="3"/>
    </row>
    <row r="783">
      <c r="A783" s="4"/>
      <c r="B783" s="3"/>
      <c r="C783" s="3"/>
      <c r="D783" s="3"/>
      <c r="E783" s="3"/>
      <c r="F783" s="3"/>
      <c r="G783" s="3"/>
    </row>
    <row r="784">
      <c r="A784" s="4"/>
      <c r="B784" s="3"/>
      <c r="C784" s="3"/>
      <c r="D784" s="3"/>
      <c r="E784" s="3"/>
      <c r="F784" s="3"/>
      <c r="G784" s="3"/>
    </row>
    <row r="785">
      <c r="A785" s="4"/>
      <c r="B785" s="3"/>
      <c r="C785" s="3"/>
      <c r="D785" s="3"/>
      <c r="E785" s="3"/>
      <c r="F785" s="3"/>
      <c r="G785" s="3"/>
    </row>
    <row r="786">
      <c r="A786" s="4"/>
      <c r="B786" s="3"/>
      <c r="C786" s="3"/>
      <c r="D786" s="3"/>
      <c r="E786" s="3"/>
      <c r="F786" s="3"/>
      <c r="G786" s="3"/>
    </row>
    <row r="787">
      <c r="A787" s="4"/>
      <c r="B787" s="3"/>
      <c r="C787" s="3"/>
      <c r="D787" s="3"/>
      <c r="E787" s="3"/>
      <c r="F787" s="3"/>
      <c r="G787" s="3"/>
    </row>
    <row r="788">
      <c r="A788" s="4"/>
      <c r="B788" s="3"/>
      <c r="C788" s="3"/>
      <c r="D788" s="3"/>
      <c r="E788" s="3"/>
      <c r="F788" s="3"/>
      <c r="G788" s="3"/>
    </row>
    <row r="789">
      <c r="A789" s="4"/>
      <c r="B789" s="3"/>
      <c r="C789" s="3"/>
      <c r="D789" s="3"/>
      <c r="E789" s="3"/>
      <c r="F789" s="3"/>
      <c r="G789" s="3"/>
    </row>
    <row r="790">
      <c r="A790" s="4"/>
      <c r="B790" s="3"/>
      <c r="C790" s="3"/>
      <c r="D790" s="3"/>
      <c r="E790" s="3"/>
      <c r="F790" s="3"/>
      <c r="G790" s="3"/>
    </row>
    <row r="791">
      <c r="A791" s="4"/>
      <c r="B791" s="3"/>
      <c r="C791" s="3"/>
      <c r="D791" s="3"/>
      <c r="E791" s="3"/>
      <c r="F791" s="3"/>
      <c r="G791" s="3"/>
    </row>
    <row r="792">
      <c r="A792" s="4"/>
      <c r="B792" s="3"/>
      <c r="C792" s="3"/>
      <c r="D792" s="3"/>
      <c r="E792" s="3"/>
      <c r="F792" s="3"/>
      <c r="G792" s="3"/>
    </row>
    <row r="793">
      <c r="A793" s="4"/>
      <c r="B793" s="3"/>
      <c r="C793" s="3"/>
      <c r="D793" s="3"/>
      <c r="E793" s="3"/>
      <c r="F793" s="3"/>
      <c r="G793" s="3"/>
    </row>
    <row r="794">
      <c r="A794" s="4"/>
      <c r="B794" s="3"/>
      <c r="C794" s="3"/>
      <c r="D794" s="3"/>
      <c r="E794" s="3"/>
      <c r="F794" s="3"/>
      <c r="G794" s="3"/>
    </row>
    <row r="795">
      <c r="A795" s="4"/>
      <c r="B795" s="3"/>
      <c r="C795" s="3"/>
      <c r="D795" s="3"/>
      <c r="E795" s="3"/>
      <c r="F795" s="3"/>
      <c r="G795" s="3"/>
    </row>
    <row r="796">
      <c r="A796" s="4"/>
      <c r="B796" s="3"/>
      <c r="C796" s="3"/>
      <c r="D796" s="3"/>
      <c r="E796" s="3"/>
      <c r="F796" s="3"/>
      <c r="G796" s="3"/>
    </row>
    <row r="797">
      <c r="A797" s="4"/>
      <c r="B797" s="3"/>
      <c r="C797" s="3"/>
      <c r="D797" s="3"/>
      <c r="E797" s="3"/>
      <c r="F797" s="3"/>
      <c r="G797" s="3"/>
    </row>
    <row r="798">
      <c r="A798" s="4"/>
      <c r="B798" s="3"/>
      <c r="C798" s="3"/>
      <c r="D798" s="3"/>
      <c r="E798" s="3"/>
      <c r="F798" s="3"/>
      <c r="G798" s="3"/>
    </row>
    <row r="799">
      <c r="A799" s="4"/>
      <c r="B799" s="3"/>
      <c r="C799" s="3"/>
      <c r="D799" s="3"/>
      <c r="E799" s="3"/>
      <c r="F799" s="3"/>
      <c r="G799" s="3"/>
    </row>
    <row r="800">
      <c r="A800" s="4"/>
      <c r="B800" s="3"/>
      <c r="C800" s="3"/>
      <c r="D800" s="3"/>
      <c r="E800" s="3"/>
      <c r="F800" s="3"/>
      <c r="G800" s="3"/>
    </row>
    <row r="801">
      <c r="A801" s="4"/>
      <c r="B801" s="3"/>
      <c r="C801" s="3"/>
      <c r="D801" s="3"/>
      <c r="E801" s="3"/>
      <c r="F801" s="3"/>
      <c r="G801" s="3"/>
    </row>
    <row r="802">
      <c r="A802" s="4"/>
      <c r="B802" s="3"/>
      <c r="C802" s="3"/>
      <c r="D802" s="3"/>
      <c r="E802" s="3"/>
      <c r="F802" s="3"/>
      <c r="G802" s="3"/>
    </row>
    <row r="803">
      <c r="A803" s="4"/>
      <c r="B803" s="3"/>
      <c r="C803" s="3"/>
      <c r="D803" s="3"/>
      <c r="E803" s="3"/>
      <c r="F803" s="3"/>
      <c r="G803" s="3"/>
    </row>
    <row r="804">
      <c r="A804" s="4"/>
      <c r="B804" s="3"/>
      <c r="C804" s="3"/>
      <c r="D804" s="3"/>
      <c r="E804" s="3"/>
      <c r="F804" s="3"/>
      <c r="G804" s="3"/>
    </row>
    <row r="805">
      <c r="A805" s="4"/>
      <c r="B805" s="3"/>
      <c r="C805" s="3"/>
      <c r="D805" s="3"/>
      <c r="E805" s="3"/>
      <c r="F805" s="3"/>
      <c r="G805" s="3"/>
    </row>
    <row r="806">
      <c r="A806" s="4"/>
      <c r="B806" s="3"/>
      <c r="C806" s="3"/>
      <c r="D806" s="3"/>
      <c r="E806" s="3"/>
      <c r="F806" s="3"/>
      <c r="G806" s="3"/>
    </row>
    <row r="807">
      <c r="A807" s="4"/>
      <c r="B807" s="3"/>
      <c r="C807" s="3"/>
      <c r="D807" s="3"/>
      <c r="E807" s="3"/>
      <c r="F807" s="3"/>
      <c r="G807" s="3"/>
    </row>
    <row r="808">
      <c r="A808" s="4"/>
      <c r="B808" s="3"/>
      <c r="C808" s="3"/>
      <c r="D808" s="3"/>
      <c r="E808" s="3"/>
      <c r="F808" s="3"/>
      <c r="G808" s="3"/>
    </row>
    <row r="809">
      <c r="A809" s="4"/>
      <c r="B809" s="3"/>
      <c r="C809" s="3"/>
      <c r="D809" s="3"/>
      <c r="E809" s="3"/>
      <c r="F809" s="3"/>
      <c r="G809" s="3"/>
    </row>
    <row r="810">
      <c r="A810" s="4"/>
      <c r="B810" s="3"/>
      <c r="C810" s="3"/>
      <c r="D810" s="3"/>
      <c r="E810" s="3"/>
      <c r="F810" s="3"/>
      <c r="G810" s="3"/>
    </row>
    <row r="811">
      <c r="A811" s="4"/>
      <c r="B811" s="3"/>
      <c r="C811" s="3"/>
      <c r="D811" s="3"/>
      <c r="E811" s="3"/>
      <c r="F811" s="3"/>
      <c r="G811" s="3"/>
    </row>
    <row r="812">
      <c r="A812" s="4"/>
      <c r="B812" s="3"/>
      <c r="C812" s="3"/>
      <c r="D812" s="3"/>
      <c r="E812" s="3"/>
      <c r="F812" s="3"/>
      <c r="G812" s="3"/>
    </row>
    <row r="813">
      <c r="A813" s="4"/>
      <c r="B813" s="3"/>
      <c r="C813" s="3"/>
      <c r="D813" s="3"/>
      <c r="E813" s="3"/>
      <c r="F813" s="3"/>
      <c r="G813" s="3"/>
    </row>
    <row r="814">
      <c r="A814" s="4"/>
      <c r="B814" s="3"/>
      <c r="C814" s="3"/>
      <c r="D814" s="3"/>
      <c r="E814" s="3"/>
      <c r="F814" s="3"/>
      <c r="G814" s="3"/>
    </row>
    <row r="815">
      <c r="A815" s="4"/>
      <c r="B815" s="3"/>
      <c r="C815" s="3"/>
      <c r="D815" s="3"/>
      <c r="E815" s="3"/>
      <c r="F815" s="3"/>
      <c r="G815" s="3"/>
    </row>
    <row r="816">
      <c r="A816" s="4"/>
      <c r="B816" s="3"/>
      <c r="C816" s="3"/>
      <c r="D816" s="3"/>
      <c r="E816" s="3"/>
      <c r="F816" s="3"/>
      <c r="G816" s="3"/>
    </row>
    <row r="817">
      <c r="A817" s="4"/>
      <c r="B817" s="3"/>
      <c r="C817" s="3"/>
      <c r="D817" s="3"/>
      <c r="E817" s="3"/>
      <c r="F817" s="3"/>
      <c r="G817" s="3"/>
    </row>
    <row r="818">
      <c r="A818" s="4"/>
      <c r="B818" s="3"/>
      <c r="C818" s="3"/>
      <c r="D818" s="3"/>
      <c r="E818" s="3"/>
      <c r="F818" s="3"/>
      <c r="G818" s="3"/>
    </row>
    <row r="819">
      <c r="A819" s="4"/>
      <c r="B819" s="3"/>
      <c r="C819" s="3"/>
      <c r="D819" s="3"/>
      <c r="E819" s="3"/>
      <c r="F819" s="3"/>
      <c r="G819" s="3"/>
    </row>
    <row r="820">
      <c r="A820" s="4"/>
      <c r="B820" s="3"/>
      <c r="C820" s="3"/>
      <c r="D820" s="3"/>
      <c r="E820" s="3"/>
      <c r="F820" s="3"/>
      <c r="G820" s="3"/>
    </row>
    <row r="821">
      <c r="A821" s="4"/>
      <c r="B821" s="3"/>
      <c r="C821" s="3"/>
      <c r="D821" s="3"/>
      <c r="E821" s="3"/>
      <c r="F821" s="3"/>
      <c r="G821" s="3"/>
    </row>
    <row r="822">
      <c r="A822" s="4"/>
      <c r="B822" s="3"/>
      <c r="C822" s="3"/>
      <c r="D822" s="3"/>
      <c r="E822" s="3"/>
      <c r="F822" s="3"/>
      <c r="G822" s="3"/>
    </row>
    <row r="823">
      <c r="A823" s="4"/>
      <c r="B823" s="3"/>
      <c r="C823" s="3"/>
      <c r="D823" s="3"/>
      <c r="E823" s="3"/>
      <c r="F823" s="3"/>
      <c r="G823" s="3"/>
    </row>
    <row r="824">
      <c r="A824" s="4"/>
      <c r="B824" s="3"/>
      <c r="C824" s="3"/>
      <c r="D824" s="3"/>
      <c r="E824" s="3"/>
      <c r="F824" s="3"/>
      <c r="G824" s="3"/>
    </row>
    <row r="825">
      <c r="A825" s="4"/>
      <c r="B825" s="3"/>
      <c r="C825" s="3"/>
      <c r="D825" s="3"/>
      <c r="E825" s="3"/>
      <c r="F825" s="3"/>
      <c r="G825" s="3"/>
    </row>
    <row r="826">
      <c r="A826" s="4"/>
      <c r="B826" s="3"/>
      <c r="C826" s="3"/>
      <c r="D826" s="3"/>
      <c r="E826" s="3"/>
      <c r="F826" s="3"/>
      <c r="G826" s="3"/>
    </row>
    <row r="827">
      <c r="A827" s="4"/>
      <c r="B827" s="3"/>
      <c r="C827" s="3"/>
      <c r="D827" s="3"/>
      <c r="E827" s="3"/>
      <c r="F827" s="3"/>
      <c r="G827" s="3"/>
    </row>
    <row r="828">
      <c r="A828" s="4"/>
      <c r="B828" s="3"/>
      <c r="C828" s="3"/>
      <c r="D828" s="3"/>
      <c r="E828" s="3"/>
      <c r="F828" s="3"/>
      <c r="G828" s="3"/>
    </row>
    <row r="829">
      <c r="A829" s="4"/>
      <c r="B829" s="3"/>
      <c r="C829" s="3"/>
      <c r="D829" s="3"/>
      <c r="E829" s="3"/>
      <c r="F829" s="3"/>
      <c r="G829" s="3"/>
    </row>
    <row r="830">
      <c r="A830" s="4"/>
      <c r="B830" s="3"/>
      <c r="C830" s="3"/>
      <c r="D830" s="3"/>
      <c r="E830" s="3"/>
      <c r="F830" s="3"/>
      <c r="G830" s="3"/>
    </row>
    <row r="831">
      <c r="A831" s="4"/>
      <c r="B831" s="3"/>
      <c r="C831" s="3"/>
      <c r="D831" s="3"/>
      <c r="E831" s="3"/>
      <c r="F831" s="3"/>
      <c r="G831" s="3"/>
    </row>
    <row r="832">
      <c r="A832" s="4"/>
      <c r="B832" s="3"/>
      <c r="C832" s="3"/>
      <c r="D832" s="3"/>
      <c r="E832" s="3"/>
      <c r="F832" s="3"/>
      <c r="G832" s="3"/>
    </row>
    <row r="833">
      <c r="A833" s="4"/>
      <c r="B833" s="3"/>
      <c r="C833" s="3"/>
      <c r="D833" s="3"/>
      <c r="E833" s="3"/>
      <c r="F833" s="3"/>
      <c r="G833" s="3"/>
    </row>
    <row r="834">
      <c r="A834" s="4"/>
      <c r="B834" s="3"/>
      <c r="C834" s="3"/>
      <c r="D834" s="3"/>
      <c r="E834" s="3"/>
      <c r="F834" s="3"/>
      <c r="G834" s="3"/>
    </row>
    <row r="835">
      <c r="A835" s="4"/>
      <c r="B835" s="3"/>
      <c r="C835" s="3"/>
      <c r="D835" s="3"/>
      <c r="E835" s="3"/>
      <c r="F835" s="3"/>
      <c r="G835" s="3"/>
    </row>
    <row r="836">
      <c r="A836" s="4"/>
      <c r="B836" s="3"/>
      <c r="C836" s="3"/>
      <c r="D836" s="3"/>
      <c r="E836" s="3"/>
      <c r="F836" s="3"/>
      <c r="G836" s="3"/>
    </row>
    <row r="837">
      <c r="A837" s="4"/>
      <c r="B837" s="3"/>
      <c r="C837" s="3"/>
      <c r="D837" s="3"/>
      <c r="E837" s="3"/>
      <c r="F837" s="3"/>
      <c r="G837" s="3"/>
    </row>
    <row r="838">
      <c r="A838" s="4"/>
      <c r="B838" s="3"/>
      <c r="C838" s="3"/>
      <c r="D838" s="3"/>
      <c r="E838" s="3"/>
      <c r="F838" s="3"/>
      <c r="G838" s="3"/>
    </row>
    <row r="839">
      <c r="A839" s="4"/>
      <c r="B839" s="3"/>
      <c r="C839" s="3"/>
      <c r="D839" s="3"/>
      <c r="E839" s="3"/>
      <c r="F839" s="3"/>
      <c r="G839" s="3"/>
    </row>
    <row r="840">
      <c r="A840" s="4"/>
      <c r="B840" s="3"/>
      <c r="C840" s="3"/>
      <c r="D840" s="3"/>
      <c r="E840" s="3"/>
      <c r="F840" s="3"/>
      <c r="G840" s="3"/>
    </row>
    <row r="841">
      <c r="A841" s="4"/>
      <c r="B841" s="3"/>
      <c r="C841" s="3"/>
      <c r="D841" s="3"/>
      <c r="E841" s="3"/>
      <c r="F841" s="3"/>
      <c r="G841" s="3"/>
    </row>
    <row r="842">
      <c r="A842" s="4"/>
      <c r="B842" s="3"/>
      <c r="C842" s="3"/>
      <c r="D842" s="3"/>
      <c r="E842" s="3"/>
      <c r="F842" s="3"/>
      <c r="G842" s="3"/>
    </row>
    <row r="843">
      <c r="A843" s="4"/>
      <c r="B843" s="3"/>
      <c r="C843" s="3"/>
      <c r="D843" s="3"/>
      <c r="E843" s="3"/>
      <c r="F843" s="3"/>
      <c r="G843" s="3"/>
    </row>
    <row r="844">
      <c r="A844" s="4"/>
      <c r="B844" s="3"/>
      <c r="C844" s="3"/>
      <c r="D844" s="3"/>
      <c r="E844" s="3"/>
      <c r="F844" s="3"/>
      <c r="G844" s="3"/>
    </row>
    <row r="845">
      <c r="A845" s="4"/>
      <c r="B845" s="3"/>
      <c r="C845" s="3"/>
      <c r="D845" s="3"/>
      <c r="E845" s="3"/>
      <c r="F845" s="3"/>
      <c r="G845" s="3"/>
    </row>
    <row r="846">
      <c r="A846" s="4"/>
      <c r="B846" s="3"/>
      <c r="C846" s="3"/>
      <c r="D846" s="3"/>
      <c r="E846" s="3"/>
      <c r="F846" s="3"/>
      <c r="G846" s="3"/>
    </row>
    <row r="847">
      <c r="A847" s="4"/>
      <c r="B847" s="3"/>
      <c r="C847" s="3"/>
      <c r="D847" s="3"/>
      <c r="E847" s="3"/>
      <c r="F847" s="3"/>
      <c r="G847" s="3"/>
    </row>
    <row r="848">
      <c r="A848" s="4"/>
      <c r="B848" s="3"/>
      <c r="C848" s="3"/>
      <c r="D848" s="3"/>
      <c r="E848" s="3"/>
      <c r="F848" s="3"/>
      <c r="G848" s="3"/>
    </row>
    <row r="849">
      <c r="A849" s="4"/>
      <c r="B849" s="3"/>
      <c r="C849" s="3"/>
      <c r="D849" s="3"/>
      <c r="E849" s="3"/>
      <c r="F849" s="3"/>
      <c r="G849" s="3"/>
    </row>
    <row r="850">
      <c r="A850" s="4"/>
      <c r="B850" s="3"/>
      <c r="C850" s="3"/>
      <c r="D850" s="3"/>
      <c r="E850" s="3"/>
      <c r="F850" s="3"/>
      <c r="G850" s="3"/>
    </row>
    <row r="851">
      <c r="A851" s="4"/>
      <c r="B851" s="3"/>
      <c r="C851" s="3"/>
      <c r="D851" s="3"/>
      <c r="E851" s="3"/>
      <c r="F851" s="3"/>
      <c r="G851" s="3"/>
    </row>
    <row r="852">
      <c r="A852" s="4"/>
      <c r="B852" s="3"/>
      <c r="C852" s="3"/>
      <c r="D852" s="3"/>
      <c r="E852" s="3"/>
      <c r="F852" s="3"/>
      <c r="G852" s="3"/>
    </row>
    <row r="853">
      <c r="A853" s="4"/>
      <c r="B853" s="3"/>
      <c r="C853" s="3"/>
      <c r="D853" s="3"/>
      <c r="E853" s="3"/>
      <c r="F853" s="3"/>
      <c r="G853" s="3"/>
    </row>
    <row r="854">
      <c r="A854" s="4"/>
      <c r="B854" s="3"/>
      <c r="C854" s="3"/>
      <c r="D854" s="3"/>
      <c r="E854" s="3"/>
      <c r="F854" s="3"/>
      <c r="G854" s="3"/>
    </row>
    <row r="855">
      <c r="A855" s="4"/>
      <c r="B855" s="3"/>
      <c r="C855" s="3"/>
      <c r="D855" s="3"/>
      <c r="E855" s="3"/>
      <c r="F855" s="3"/>
      <c r="G855" s="3"/>
    </row>
    <row r="856">
      <c r="A856" s="4"/>
      <c r="B856" s="3"/>
      <c r="C856" s="3"/>
      <c r="D856" s="3"/>
      <c r="E856" s="3"/>
      <c r="F856" s="3"/>
      <c r="G856" s="3"/>
    </row>
    <row r="857">
      <c r="A857" s="4"/>
      <c r="B857" s="3"/>
      <c r="C857" s="3"/>
      <c r="D857" s="3"/>
      <c r="E857" s="3"/>
      <c r="F857" s="3"/>
      <c r="G857" s="3"/>
    </row>
    <row r="858">
      <c r="A858" s="4"/>
      <c r="B858" s="3"/>
      <c r="C858" s="3"/>
      <c r="D858" s="3"/>
      <c r="E858" s="3"/>
      <c r="F858" s="3"/>
      <c r="G858" s="3"/>
    </row>
    <row r="859">
      <c r="A859" s="4"/>
      <c r="B859" s="3"/>
      <c r="C859" s="3"/>
      <c r="D859" s="3"/>
      <c r="E859" s="3"/>
      <c r="F859" s="3"/>
      <c r="G859" s="3"/>
    </row>
    <row r="860">
      <c r="A860" s="4"/>
      <c r="B860" s="3"/>
      <c r="C860" s="3"/>
      <c r="D860" s="3"/>
      <c r="E860" s="3"/>
      <c r="F860" s="3"/>
      <c r="G860" s="3"/>
    </row>
    <row r="861">
      <c r="A861" s="4"/>
      <c r="B861" s="3"/>
      <c r="C861" s="3"/>
      <c r="D861" s="3"/>
      <c r="E861" s="3"/>
      <c r="F861" s="3"/>
      <c r="G861" s="3"/>
    </row>
    <row r="862">
      <c r="A862" s="4"/>
      <c r="B862" s="3"/>
      <c r="C862" s="3"/>
      <c r="D862" s="3"/>
      <c r="E862" s="3"/>
      <c r="F862" s="3"/>
      <c r="G862" s="3"/>
    </row>
    <row r="863">
      <c r="A863" s="4"/>
      <c r="B863" s="3"/>
      <c r="C863" s="3"/>
      <c r="D863" s="3"/>
      <c r="E863" s="3"/>
      <c r="F863" s="3"/>
      <c r="G863" s="3"/>
    </row>
    <row r="864">
      <c r="A864" s="4"/>
      <c r="B864" s="3"/>
      <c r="C864" s="3"/>
      <c r="D864" s="3"/>
      <c r="E864" s="3"/>
      <c r="F864" s="3"/>
      <c r="G864" s="3"/>
    </row>
    <row r="865">
      <c r="A865" s="4"/>
      <c r="B865" s="3"/>
      <c r="C865" s="3"/>
      <c r="D865" s="3"/>
      <c r="E865" s="3"/>
      <c r="F865" s="3"/>
      <c r="G865" s="3"/>
    </row>
    <row r="866">
      <c r="A866" s="4"/>
      <c r="B866" s="3"/>
      <c r="C866" s="3"/>
      <c r="D866" s="3"/>
      <c r="E866" s="3"/>
      <c r="F866" s="3"/>
      <c r="G866" s="3"/>
    </row>
    <row r="867">
      <c r="A867" s="4"/>
      <c r="B867" s="3"/>
      <c r="C867" s="3"/>
      <c r="D867" s="3"/>
      <c r="E867" s="3"/>
      <c r="F867" s="3"/>
      <c r="G867" s="3"/>
    </row>
    <row r="868">
      <c r="A868" s="4"/>
      <c r="B868" s="3"/>
      <c r="C868" s="3"/>
      <c r="D868" s="3"/>
      <c r="E868" s="3"/>
      <c r="F868" s="3"/>
      <c r="G868" s="3"/>
    </row>
    <row r="869">
      <c r="A869" s="4"/>
      <c r="B869" s="3"/>
      <c r="C869" s="3"/>
      <c r="D869" s="3"/>
      <c r="E869" s="3"/>
      <c r="F869" s="3"/>
      <c r="G869" s="3"/>
    </row>
    <row r="870">
      <c r="A870" s="4"/>
      <c r="B870" s="3"/>
      <c r="C870" s="3"/>
      <c r="D870" s="3"/>
      <c r="E870" s="3"/>
      <c r="F870" s="3"/>
      <c r="G870" s="3"/>
    </row>
    <row r="871">
      <c r="A871" s="4"/>
      <c r="B871" s="3"/>
      <c r="C871" s="3"/>
      <c r="D871" s="3"/>
      <c r="E871" s="3"/>
      <c r="F871" s="3"/>
      <c r="G871" s="3"/>
    </row>
    <row r="872">
      <c r="A872" s="4"/>
      <c r="B872" s="3"/>
      <c r="C872" s="3"/>
      <c r="D872" s="3"/>
      <c r="E872" s="3"/>
      <c r="F872" s="3"/>
      <c r="G872" s="3"/>
    </row>
    <row r="873">
      <c r="A873" s="4"/>
      <c r="B873" s="3"/>
      <c r="C873" s="3"/>
      <c r="D873" s="3"/>
      <c r="E873" s="3"/>
      <c r="F873" s="3"/>
      <c r="G873" s="3"/>
    </row>
    <row r="874">
      <c r="A874" s="4"/>
      <c r="B874" s="3"/>
      <c r="C874" s="3"/>
      <c r="D874" s="3"/>
      <c r="E874" s="3"/>
      <c r="F874" s="3"/>
      <c r="G874" s="3"/>
    </row>
    <row r="875">
      <c r="A875" s="4"/>
      <c r="B875" s="3"/>
      <c r="C875" s="3"/>
      <c r="D875" s="3"/>
      <c r="E875" s="3"/>
      <c r="F875" s="3"/>
      <c r="G875" s="3"/>
    </row>
    <row r="876">
      <c r="A876" s="4"/>
      <c r="B876" s="3"/>
      <c r="C876" s="3"/>
      <c r="D876" s="3"/>
      <c r="E876" s="3"/>
      <c r="F876" s="3"/>
      <c r="G876" s="3"/>
    </row>
    <row r="877">
      <c r="A877" s="4"/>
      <c r="B877" s="3"/>
      <c r="C877" s="3"/>
      <c r="D877" s="3"/>
      <c r="E877" s="3"/>
      <c r="F877" s="3"/>
      <c r="G877" s="3"/>
    </row>
    <row r="878">
      <c r="A878" s="4"/>
      <c r="B878" s="3"/>
      <c r="C878" s="3"/>
      <c r="D878" s="3"/>
      <c r="E878" s="3"/>
      <c r="F878" s="3"/>
      <c r="G878" s="3"/>
    </row>
    <row r="879">
      <c r="A879" s="4"/>
      <c r="B879" s="3"/>
      <c r="C879" s="3"/>
      <c r="D879" s="3"/>
      <c r="E879" s="3"/>
      <c r="F879" s="3"/>
      <c r="G879" s="3"/>
    </row>
    <row r="880">
      <c r="A880" s="4"/>
      <c r="B880" s="3"/>
      <c r="C880" s="3"/>
      <c r="D880" s="3"/>
      <c r="E880" s="3"/>
      <c r="F880" s="3"/>
      <c r="G880" s="3"/>
    </row>
    <row r="881">
      <c r="A881" s="4"/>
      <c r="B881" s="3"/>
      <c r="C881" s="3"/>
      <c r="D881" s="3"/>
      <c r="E881" s="3"/>
      <c r="F881" s="3"/>
      <c r="G881" s="3"/>
    </row>
    <row r="882">
      <c r="A882" s="4"/>
      <c r="B882" s="3"/>
      <c r="C882" s="3"/>
      <c r="D882" s="3"/>
      <c r="E882" s="3"/>
      <c r="F882" s="3"/>
      <c r="G882" s="3"/>
    </row>
    <row r="883">
      <c r="A883" s="4"/>
      <c r="B883" s="3"/>
      <c r="C883" s="3"/>
      <c r="D883" s="3"/>
      <c r="E883" s="3"/>
      <c r="F883" s="3"/>
      <c r="G883" s="3"/>
    </row>
    <row r="884">
      <c r="A884" s="4"/>
      <c r="B884" s="3"/>
      <c r="C884" s="3"/>
      <c r="D884" s="3"/>
      <c r="E884" s="3"/>
      <c r="F884" s="3"/>
      <c r="G884" s="3"/>
    </row>
    <row r="885">
      <c r="A885" s="4"/>
      <c r="B885" s="3"/>
      <c r="C885" s="3"/>
      <c r="D885" s="3"/>
      <c r="E885" s="3"/>
      <c r="F885" s="3"/>
      <c r="G885" s="3"/>
    </row>
    <row r="886">
      <c r="A886" s="4"/>
      <c r="B886" s="3"/>
      <c r="C886" s="3"/>
      <c r="D886" s="3"/>
      <c r="E886" s="3"/>
      <c r="F886" s="3"/>
      <c r="G886" s="3"/>
    </row>
    <row r="887">
      <c r="A887" s="4"/>
      <c r="B887" s="3"/>
      <c r="C887" s="3"/>
      <c r="D887" s="3"/>
      <c r="E887" s="3"/>
      <c r="F887" s="3"/>
      <c r="G887" s="3"/>
    </row>
    <row r="888">
      <c r="A888" s="4"/>
      <c r="B888" s="3"/>
      <c r="C888" s="3"/>
      <c r="D888" s="3"/>
      <c r="E888" s="3"/>
      <c r="F888" s="3"/>
      <c r="G888" s="3"/>
    </row>
    <row r="889">
      <c r="A889" s="4"/>
      <c r="B889" s="3"/>
      <c r="C889" s="3"/>
      <c r="D889" s="3"/>
      <c r="E889" s="3"/>
      <c r="F889" s="3"/>
      <c r="G889" s="3"/>
    </row>
    <row r="890">
      <c r="A890" s="4"/>
      <c r="B890" s="3"/>
      <c r="C890" s="3"/>
      <c r="D890" s="3"/>
      <c r="E890" s="3"/>
      <c r="F890" s="3"/>
      <c r="G890" s="3"/>
    </row>
    <row r="891">
      <c r="A891" s="4"/>
      <c r="B891" s="3"/>
      <c r="C891" s="3"/>
      <c r="D891" s="3"/>
      <c r="E891" s="3"/>
      <c r="F891" s="3"/>
      <c r="G891" s="3"/>
    </row>
    <row r="892">
      <c r="A892" s="4"/>
      <c r="B892" s="3"/>
      <c r="C892" s="3"/>
      <c r="D892" s="3"/>
      <c r="E892" s="3"/>
      <c r="F892" s="3"/>
      <c r="G892" s="3"/>
    </row>
    <row r="893">
      <c r="A893" s="4"/>
      <c r="B893" s="3"/>
      <c r="C893" s="3"/>
      <c r="D893" s="3"/>
      <c r="E893" s="3"/>
      <c r="F893" s="3"/>
      <c r="G893" s="3"/>
    </row>
    <row r="894">
      <c r="A894" s="4"/>
      <c r="B894" s="3"/>
      <c r="C894" s="3"/>
      <c r="D894" s="3"/>
      <c r="E894" s="3"/>
      <c r="F894" s="3"/>
      <c r="G894" s="3"/>
    </row>
    <row r="895">
      <c r="A895" s="4"/>
      <c r="B895" s="3"/>
      <c r="C895" s="3"/>
      <c r="D895" s="3"/>
      <c r="E895" s="3"/>
      <c r="F895" s="3"/>
      <c r="G895" s="3"/>
    </row>
    <row r="896">
      <c r="A896" s="4"/>
      <c r="B896" s="3"/>
      <c r="C896" s="3"/>
      <c r="D896" s="3"/>
      <c r="E896" s="3"/>
      <c r="F896" s="3"/>
      <c r="G896" s="3"/>
    </row>
    <row r="897">
      <c r="A897" s="4"/>
      <c r="B897" s="3"/>
      <c r="C897" s="3"/>
      <c r="D897" s="3"/>
      <c r="E897" s="3"/>
      <c r="F897" s="3"/>
      <c r="G897" s="3"/>
    </row>
    <row r="898">
      <c r="A898" s="4"/>
      <c r="B898" s="3"/>
      <c r="C898" s="3"/>
      <c r="D898" s="3"/>
      <c r="E898" s="3"/>
      <c r="F898" s="3"/>
      <c r="G898" s="3"/>
    </row>
    <row r="899">
      <c r="A899" s="4"/>
      <c r="B899" s="3"/>
      <c r="C899" s="3"/>
      <c r="D899" s="3"/>
      <c r="E899" s="3"/>
      <c r="F899" s="3"/>
      <c r="G899" s="3"/>
    </row>
    <row r="900">
      <c r="A900" s="4"/>
      <c r="B900" s="3"/>
      <c r="C900" s="3"/>
      <c r="D900" s="3"/>
      <c r="E900" s="3"/>
      <c r="F900" s="3"/>
      <c r="G900" s="3"/>
    </row>
    <row r="901">
      <c r="A901" s="4"/>
      <c r="B901" s="3"/>
      <c r="C901" s="3"/>
      <c r="D901" s="3"/>
      <c r="E901" s="3"/>
      <c r="F901" s="3"/>
      <c r="G901" s="3"/>
    </row>
    <row r="902">
      <c r="A902" s="4"/>
      <c r="B902" s="3"/>
      <c r="C902" s="3"/>
      <c r="D902" s="3"/>
      <c r="E902" s="3"/>
      <c r="F902" s="3"/>
      <c r="G902" s="3"/>
    </row>
    <row r="903">
      <c r="A903" s="4"/>
      <c r="B903" s="3"/>
      <c r="C903" s="3"/>
      <c r="D903" s="3"/>
      <c r="E903" s="3"/>
      <c r="F903" s="3"/>
      <c r="G903" s="3"/>
    </row>
    <row r="904">
      <c r="A904" s="4"/>
      <c r="B904" s="3"/>
      <c r="C904" s="3"/>
      <c r="D904" s="3"/>
      <c r="E904" s="3"/>
      <c r="F904" s="3"/>
      <c r="G904" s="3"/>
    </row>
    <row r="905">
      <c r="A905" s="4"/>
      <c r="B905" s="3"/>
      <c r="C905" s="3"/>
      <c r="D905" s="3"/>
      <c r="E905" s="3"/>
      <c r="F905" s="3"/>
      <c r="G905" s="3"/>
    </row>
    <row r="906">
      <c r="A906" s="4"/>
      <c r="B906" s="3"/>
      <c r="C906" s="3"/>
      <c r="D906" s="3"/>
      <c r="E906" s="3"/>
      <c r="F906" s="3"/>
      <c r="G906" s="3"/>
    </row>
    <row r="907">
      <c r="A907" s="4"/>
      <c r="B907" s="3"/>
      <c r="C907" s="3"/>
      <c r="D907" s="3"/>
      <c r="E907" s="3"/>
      <c r="F907" s="3"/>
      <c r="G907" s="3"/>
    </row>
    <row r="908">
      <c r="A908" s="4"/>
      <c r="B908" s="3"/>
      <c r="C908" s="3"/>
      <c r="D908" s="3"/>
      <c r="E908" s="3"/>
      <c r="F908" s="3"/>
      <c r="G908" s="3"/>
    </row>
    <row r="909">
      <c r="A909" s="4"/>
      <c r="B909" s="3"/>
      <c r="C909" s="3"/>
      <c r="D909" s="3"/>
      <c r="E909" s="3"/>
      <c r="F909" s="3"/>
      <c r="G909" s="3"/>
    </row>
    <row r="910">
      <c r="A910" s="4"/>
      <c r="B910" s="3"/>
      <c r="C910" s="3"/>
      <c r="D910" s="3"/>
      <c r="E910" s="3"/>
      <c r="F910" s="3"/>
      <c r="G910" s="3"/>
    </row>
    <row r="911">
      <c r="A911" s="4"/>
      <c r="B911" s="3"/>
      <c r="C911" s="3"/>
      <c r="D911" s="3"/>
      <c r="E911" s="3"/>
      <c r="F911" s="3"/>
      <c r="G911" s="3"/>
    </row>
    <row r="912">
      <c r="A912" s="4"/>
      <c r="B912" s="3"/>
      <c r="C912" s="3"/>
      <c r="D912" s="3"/>
      <c r="E912" s="3"/>
      <c r="F912" s="3"/>
      <c r="G912" s="3"/>
    </row>
    <row r="913">
      <c r="A913" s="4"/>
      <c r="B913" s="3"/>
      <c r="C913" s="3"/>
      <c r="D913" s="3"/>
      <c r="E913" s="3"/>
      <c r="F913" s="3"/>
      <c r="G913" s="3"/>
    </row>
    <row r="914">
      <c r="A914" s="4"/>
      <c r="B914" s="3"/>
      <c r="C914" s="3"/>
      <c r="D914" s="3"/>
      <c r="E914" s="3"/>
      <c r="F914" s="3"/>
      <c r="G914" s="3"/>
    </row>
    <row r="915">
      <c r="A915" s="4"/>
      <c r="B915" s="3"/>
      <c r="C915" s="3"/>
      <c r="D915" s="3"/>
      <c r="E915" s="3"/>
      <c r="F915" s="3"/>
      <c r="G915" s="3"/>
    </row>
    <row r="916">
      <c r="A916" s="4"/>
      <c r="B916" s="3"/>
      <c r="C916" s="3"/>
      <c r="D916" s="3"/>
      <c r="E916" s="3"/>
      <c r="F916" s="3"/>
      <c r="G916" s="3"/>
    </row>
    <row r="917">
      <c r="A917" s="4"/>
      <c r="B917" s="3"/>
      <c r="C917" s="3"/>
      <c r="D917" s="3"/>
      <c r="E917" s="3"/>
      <c r="F917" s="3"/>
      <c r="G917" s="3"/>
    </row>
    <row r="918">
      <c r="A918" s="4"/>
      <c r="B918" s="3"/>
      <c r="C918" s="3"/>
      <c r="D918" s="3"/>
      <c r="E918" s="3"/>
      <c r="F918" s="3"/>
      <c r="G918" s="3"/>
    </row>
    <row r="919">
      <c r="A919" s="4"/>
      <c r="B919" s="3"/>
      <c r="C919" s="3"/>
      <c r="D919" s="3"/>
      <c r="E919" s="3"/>
      <c r="F919" s="3"/>
      <c r="G919" s="3"/>
    </row>
    <row r="920">
      <c r="A920" s="4"/>
      <c r="B920" s="3"/>
      <c r="C920" s="3"/>
      <c r="D920" s="3"/>
      <c r="E920" s="3"/>
      <c r="F920" s="3"/>
      <c r="G920" s="3"/>
    </row>
    <row r="921">
      <c r="A921" s="4"/>
      <c r="B921" s="3"/>
      <c r="C921" s="3"/>
      <c r="D921" s="3"/>
      <c r="E921" s="3"/>
      <c r="F921" s="3"/>
      <c r="G921" s="3"/>
    </row>
    <row r="922">
      <c r="A922" s="4"/>
      <c r="B922" s="3"/>
      <c r="C922" s="3"/>
      <c r="D922" s="3"/>
      <c r="E922" s="3"/>
      <c r="F922" s="3"/>
      <c r="G922" s="3"/>
    </row>
    <row r="923">
      <c r="A923" s="4"/>
      <c r="B923" s="3"/>
      <c r="C923" s="3"/>
      <c r="D923" s="3"/>
      <c r="E923" s="3"/>
      <c r="F923" s="3"/>
      <c r="G923" s="3"/>
    </row>
    <row r="924">
      <c r="A924" s="4"/>
      <c r="B924" s="3"/>
      <c r="C924" s="3"/>
      <c r="D924" s="3"/>
      <c r="E924" s="3"/>
      <c r="F924" s="3"/>
      <c r="G924" s="3"/>
    </row>
    <row r="925">
      <c r="A925" s="4"/>
      <c r="B925" s="3"/>
      <c r="C925" s="3"/>
      <c r="D925" s="3"/>
      <c r="E925" s="3"/>
      <c r="F925" s="3"/>
      <c r="G925" s="3"/>
    </row>
    <row r="926">
      <c r="A926" s="4"/>
      <c r="B926" s="3"/>
      <c r="C926" s="3"/>
      <c r="D926" s="3"/>
      <c r="E926" s="3"/>
      <c r="F926" s="3"/>
      <c r="G926" s="3"/>
    </row>
    <row r="927">
      <c r="A927" s="4"/>
      <c r="B927" s="3"/>
      <c r="C927" s="3"/>
      <c r="D927" s="3"/>
      <c r="E927" s="3"/>
      <c r="F927" s="3"/>
      <c r="G927" s="3"/>
    </row>
    <row r="928">
      <c r="A928" s="4"/>
      <c r="B928" s="3"/>
      <c r="C928" s="3"/>
      <c r="D928" s="3"/>
      <c r="E928" s="3"/>
      <c r="F928" s="3"/>
      <c r="G928" s="3"/>
    </row>
    <row r="929">
      <c r="A929" s="4"/>
      <c r="B929" s="3"/>
      <c r="C929" s="3"/>
      <c r="D929" s="3"/>
      <c r="E929" s="3"/>
      <c r="F929" s="3"/>
      <c r="G929" s="3"/>
    </row>
    <row r="930">
      <c r="A930" s="4"/>
      <c r="B930" s="3"/>
      <c r="C930" s="3"/>
      <c r="D930" s="3"/>
      <c r="E930" s="3"/>
      <c r="F930" s="3"/>
      <c r="G930" s="3"/>
    </row>
    <row r="931">
      <c r="A931" s="4"/>
      <c r="B931" s="3"/>
      <c r="C931" s="3"/>
      <c r="D931" s="3"/>
      <c r="E931" s="3"/>
      <c r="F931" s="3"/>
      <c r="G931" s="3"/>
    </row>
    <row r="932">
      <c r="A932" s="4"/>
      <c r="B932" s="3"/>
      <c r="C932" s="3"/>
      <c r="D932" s="3"/>
      <c r="E932" s="3"/>
      <c r="F932" s="3"/>
      <c r="G932" s="3"/>
    </row>
    <row r="933">
      <c r="A933" s="4"/>
      <c r="B933" s="3"/>
      <c r="C933" s="3"/>
      <c r="D933" s="3"/>
      <c r="E933" s="3"/>
      <c r="F933" s="3"/>
      <c r="G933" s="3"/>
    </row>
    <row r="934">
      <c r="A934" s="4"/>
      <c r="B934" s="3"/>
      <c r="C934" s="3"/>
      <c r="D934" s="3"/>
      <c r="E934" s="3"/>
      <c r="F934" s="3"/>
      <c r="G934" s="3"/>
    </row>
    <row r="935">
      <c r="A935" s="4"/>
      <c r="B935" s="3"/>
      <c r="C935" s="3"/>
      <c r="D935" s="3"/>
      <c r="E935" s="3"/>
      <c r="F935" s="3"/>
      <c r="G935" s="3"/>
    </row>
    <row r="936">
      <c r="A936" s="4"/>
      <c r="B936" s="3"/>
      <c r="C936" s="3"/>
      <c r="D936" s="3"/>
      <c r="E936" s="3"/>
      <c r="F936" s="3"/>
      <c r="G936" s="3"/>
    </row>
    <row r="937">
      <c r="A937" s="4"/>
      <c r="B937" s="3"/>
      <c r="C937" s="3"/>
      <c r="D937" s="3"/>
      <c r="E937" s="3"/>
      <c r="F937" s="3"/>
      <c r="G937" s="3"/>
    </row>
    <row r="938">
      <c r="A938" s="4"/>
      <c r="B938" s="3"/>
      <c r="C938" s="3"/>
      <c r="D938" s="3"/>
      <c r="E938" s="3"/>
      <c r="F938" s="3"/>
      <c r="G938" s="3"/>
    </row>
    <row r="939">
      <c r="A939" s="4"/>
      <c r="B939" s="3"/>
      <c r="C939" s="3"/>
      <c r="D939" s="3"/>
      <c r="E939" s="3"/>
      <c r="F939" s="3"/>
      <c r="G939" s="3"/>
    </row>
    <row r="940">
      <c r="A940" s="4"/>
      <c r="B940" s="3"/>
      <c r="C940" s="3"/>
      <c r="D940" s="3"/>
      <c r="E940" s="3"/>
      <c r="F940" s="3"/>
      <c r="G940" s="3"/>
    </row>
    <row r="941">
      <c r="A941" s="4"/>
      <c r="B941" s="3"/>
      <c r="C941" s="3"/>
      <c r="D941" s="3"/>
      <c r="E941" s="3"/>
      <c r="F941" s="3"/>
      <c r="G941" s="3"/>
    </row>
    <row r="942">
      <c r="A942" s="4"/>
      <c r="B942" s="3"/>
      <c r="C942" s="3"/>
      <c r="D942" s="3"/>
      <c r="E942" s="3"/>
      <c r="F942" s="3"/>
      <c r="G942" s="3"/>
    </row>
    <row r="943">
      <c r="A943" s="4"/>
      <c r="B943" s="3"/>
      <c r="C943" s="3"/>
      <c r="D943" s="3"/>
      <c r="E943" s="3"/>
      <c r="F943" s="3"/>
      <c r="G943" s="3"/>
    </row>
    <row r="944">
      <c r="A944" s="4"/>
      <c r="B944" s="3"/>
      <c r="C944" s="3"/>
      <c r="D944" s="3"/>
      <c r="E944" s="3"/>
      <c r="F944" s="3"/>
      <c r="G944" s="3"/>
    </row>
    <row r="945">
      <c r="A945" s="4"/>
      <c r="B945" s="3"/>
      <c r="C945" s="3"/>
      <c r="D945" s="3"/>
      <c r="E945" s="3"/>
      <c r="F945" s="3"/>
      <c r="G945" s="3"/>
    </row>
    <row r="946">
      <c r="A946" s="4"/>
      <c r="B946" s="3"/>
      <c r="C946" s="3"/>
      <c r="D946" s="3"/>
      <c r="E946" s="3"/>
      <c r="F946" s="3"/>
      <c r="G946" s="3"/>
    </row>
    <row r="947">
      <c r="A947" s="4"/>
      <c r="B947" s="3"/>
      <c r="C947" s="3"/>
      <c r="D947" s="3"/>
      <c r="E947" s="3"/>
      <c r="F947" s="3"/>
      <c r="G947" s="3"/>
    </row>
    <row r="948">
      <c r="A948" s="4"/>
      <c r="B948" s="3"/>
      <c r="C948" s="3"/>
      <c r="D948" s="3"/>
      <c r="E948" s="3"/>
      <c r="F948" s="3"/>
      <c r="G948" s="3"/>
    </row>
    <row r="949">
      <c r="A949" s="4"/>
      <c r="B949" s="3"/>
      <c r="C949" s="3"/>
      <c r="D949" s="3"/>
      <c r="E949" s="3"/>
      <c r="F949" s="3"/>
      <c r="G949" s="3"/>
    </row>
    <row r="950">
      <c r="A950" s="4"/>
      <c r="B950" s="3"/>
      <c r="C950" s="3"/>
      <c r="D950" s="3"/>
      <c r="E950" s="3"/>
      <c r="F950" s="3"/>
      <c r="G950" s="3"/>
    </row>
    <row r="951">
      <c r="A951" s="4"/>
      <c r="B951" s="3"/>
      <c r="C951" s="3"/>
      <c r="D951" s="3"/>
      <c r="E951" s="3"/>
      <c r="F951" s="3"/>
      <c r="G951" s="3"/>
    </row>
    <row r="952">
      <c r="A952" s="4"/>
      <c r="B952" s="3"/>
      <c r="C952" s="3"/>
      <c r="D952" s="3"/>
      <c r="E952" s="3"/>
      <c r="F952" s="3"/>
      <c r="G952" s="3"/>
    </row>
    <row r="953">
      <c r="A953" s="4"/>
      <c r="B953" s="3"/>
      <c r="C953" s="3"/>
      <c r="D953" s="3"/>
      <c r="E953" s="3"/>
      <c r="F953" s="3"/>
      <c r="G953" s="3"/>
    </row>
    <row r="954">
      <c r="A954" s="4"/>
      <c r="B954" s="3"/>
      <c r="C954" s="3"/>
      <c r="D954" s="3"/>
      <c r="E954" s="3"/>
      <c r="F954" s="3"/>
      <c r="G954" s="3"/>
    </row>
    <row r="955">
      <c r="A955" s="4"/>
      <c r="B955" s="3"/>
      <c r="C955" s="3"/>
      <c r="D955" s="3"/>
      <c r="E955" s="3"/>
      <c r="F955" s="3"/>
      <c r="G955" s="3"/>
    </row>
    <row r="956">
      <c r="A956" s="4"/>
      <c r="B956" s="3"/>
      <c r="C956" s="3"/>
      <c r="D956" s="3"/>
      <c r="E956" s="3"/>
      <c r="F956" s="3"/>
      <c r="G956" s="3"/>
    </row>
    <row r="957">
      <c r="A957" s="4"/>
      <c r="B957" s="3"/>
      <c r="C957" s="3"/>
      <c r="D957" s="3"/>
      <c r="E957" s="3"/>
      <c r="F957" s="3"/>
      <c r="G957" s="3"/>
    </row>
    <row r="958">
      <c r="A958" s="4"/>
      <c r="B958" s="3"/>
      <c r="C958" s="3"/>
      <c r="D958" s="3"/>
      <c r="E958" s="3"/>
      <c r="F958" s="3"/>
      <c r="G958" s="3"/>
    </row>
    <row r="959">
      <c r="A959" s="4"/>
      <c r="B959" s="3"/>
      <c r="C959" s="3"/>
      <c r="D959" s="3"/>
      <c r="E959" s="3"/>
      <c r="F959" s="3"/>
      <c r="G959" s="3"/>
    </row>
    <row r="960">
      <c r="A960" s="4"/>
      <c r="B960" s="3"/>
      <c r="C960" s="3"/>
      <c r="D960" s="3"/>
      <c r="E960" s="3"/>
      <c r="F960" s="3"/>
      <c r="G960" s="3"/>
    </row>
    <row r="961">
      <c r="A961" s="4"/>
      <c r="B961" s="3"/>
      <c r="C961" s="3"/>
      <c r="D961" s="3"/>
      <c r="E961" s="3"/>
      <c r="F961" s="3"/>
      <c r="G961" s="3"/>
    </row>
    <row r="962">
      <c r="A962" s="4"/>
      <c r="B962" s="3"/>
      <c r="C962" s="3"/>
      <c r="D962" s="3"/>
      <c r="E962" s="3"/>
      <c r="F962" s="3"/>
      <c r="G962" s="3"/>
    </row>
    <row r="963">
      <c r="A963" s="4"/>
      <c r="B963" s="3"/>
      <c r="C963" s="3"/>
      <c r="D963" s="3"/>
      <c r="E963" s="3"/>
      <c r="F963" s="3"/>
      <c r="G963" s="3"/>
    </row>
    <row r="964">
      <c r="A964" s="4"/>
      <c r="B964" s="3"/>
      <c r="C964" s="3"/>
      <c r="D964" s="3"/>
      <c r="E964" s="3"/>
      <c r="F964" s="3"/>
      <c r="G964" s="3"/>
    </row>
    <row r="965">
      <c r="A965" s="4"/>
      <c r="B965" s="3"/>
      <c r="C965" s="3"/>
      <c r="D965" s="3"/>
      <c r="E965" s="3"/>
      <c r="F965" s="3"/>
      <c r="G965" s="3"/>
    </row>
    <row r="966">
      <c r="A966" s="4"/>
      <c r="B966" s="3"/>
      <c r="C966" s="3"/>
      <c r="D966" s="3"/>
      <c r="E966" s="3"/>
      <c r="F966" s="3"/>
      <c r="G966" s="3"/>
    </row>
    <row r="967">
      <c r="A967" s="4"/>
      <c r="B967" s="3"/>
      <c r="C967" s="3"/>
      <c r="D967" s="3"/>
      <c r="E967" s="3"/>
      <c r="F967" s="3"/>
      <c r="G967" s="3"/>
    </row>
    <row r="968">
      <c r="A968" s="4"/>
      <c r="B968" s="3"/>
      <c r="C968" s="3"/>
      <c r="D968" s="3"/>
      <c r="E968" s="3"/>
      <c r="F968" s="3"/>
      <c r="G968" s="3"/>
    </row>
    <row r="969">
      <c r="A969" s="4"/>
      <c r="B969" s="3"/>
      <c r="C969" s="3"/>
      <c r="D969" s="3"/>
      <c r="E969" s="3"/>
      <c r="F969" s="3"/>
      <c r="G969" s="3"/>
    </row>
    <row r="970">
      <c r="A970" s="4"/>
      <c r="B970" s="3"/>
      <c r="C970" s="3"/>
      <c r="D970" s="3"/>
      <c r="E970" s="3"/>
      <c r="F970" s="3"/>
      <c r="G970" s="3"/>
    </row>
    <row r="971">
      <c r="A971" s="4"/>
      <c r="B971" s="3"/>
      <c r="C971" s="3"/>
      <c r="D971" s="3"/>
      <c r="E971" s="3"/>
      <c r="F971" s="3"/>
      <c r="G971" s="3"/>
    </row>
    <row r="972">
      <c r="A972" s="4"/>
      <c r="B972" s="3"/>
      <c r="C972" s="3"/>
      <c r="D972" s="3"/>
      <c r="E972" s="3"/>
      <c r="F972" s="3"/>
      <c r="G972" s="3"/>
    </row>
    <row r="973">
      <c r="A973" s="4"/>
      <c r="B973" s="3"/>
      <c r="C973" s="3"/>
      <c r="D973" s="3"/>
      <c r="E973" s="3"/>
      <c r="F973" s="3"/>
      <c r="G973" s="3"/>
    </row>
    <row r="974">
      <c r="A974" s="4"/>
      <c r="B974" s="3"/>
      <c r="C974" s="3"/>
      <c r="D974" s="3"/>
      <c r="E974" s="3"/>
      <c r="F974" s="3"/>
      <c r="G974" s="3"/>
    </row>
    <row r="975">
      <c r="A975" s="4"/>
      <c r="B975" s="3"/>
      <c r="C975" s="3"/>
      <c r="D975" s="3"/>
      <c r="E975" s="3"/>
      <c r="F975" s="3"/>
      <c r="G975" s="3"/>
    </row>
    <row r="976">
      <c r="A976" s="4"/>
      <c r="B976" s="3"/>
      <c r="C976" s="3"/>
      <c r="D976" s="3"/>
      <c r="E976" s="3"/>
      <c r="F976" s="3"/>
      <c r="G976" s="3"/>
    </row>
    <row r="977">
      <c r="A977" s="4"/>
      <c r="B977" s="3"/>
      <c r="C977" s="3"/>
      <c r="D977" s="3"/>
      <c r="E977" s="3"/>
      <c r="F977" s="3"/>
      <c r="G977" s="3"/>
    </row>
    <row r="978">
      <c r="A978" s="4"/>
      <c r="B978" s="3"/>
      <c r="C978" s="3"/>
      <c r="D978" s="3"/>
      <c r="E978" s="3"/>
      <c r="F978" s="3"/>
      <c r="G978" s="3"/>
    </row>
    <row r="979">
      <c r="A979" s="4"/>
      <c r="B979" s="3"/>
      <c r="C979" s="3"/>
      <c r="D979" s="3"/>
      <c r="E979" s="3"/>
      <c r="F979" s="3"/>
      <c r="G979" s="3"/>
    </row>
    <row r="980">
      <c r="A980" s="4"/>
      <c r="B980" s="3"/>
      <c r="C980" s="3"/>
      <c r="D980" s="3"/>
      <c r="E980" s="3"/>
      <c r="F980" s="3"/>
      <c r="G980" s="3"/>
    </row>
    <row r="981">
      <c r="A981" s="4"/>
      <c r="B981" s="3"/>
      <c r="C981" s="3"/>
      <c r="D981" s="3"/>
      <c r="E981" s="3"/>
      <c r="F981" s="3"/>
      <c r="G981" s="3"/>
    </row>
    <row r="982">
      <c r="A982" s="4"/>
      <c r="B982" s="3"/>
      <c r="C982" s="3"/>
      <c r="D982" s="3"/>
      <c r="E982" s="3"/>
      <c r="F982" s="3"/>
      <c r="G982" s="3"/>
    </row>
    <row r="983">
      <c r="A983" s="4"/>
      <c r="B983" s="3"/>
      <c r="C983" s="3"/>
      <c r="D983" s="3"/>
      <c r="E983" s="3"/>
      <c r="F983" s="3"/>
      <c r="G983" s="3"/>
    </row>
    <row r="984">
      <c r="A984" s="4"/>
      <c r="B984" s="3"/>
      <c r="C984" s="3"/>
      <c r="D984" s="3"/>
      <c r="E984" s="3"/>
      <c r="F984" s="3"/>
      <c r="G984" s="3"/>
    </row>
    <row r="985">
      <c r="A985" s="4"/>
      <c r="B985" s="3"/>
      <c r="C985" s="3"/>
      <c r="D985" s="3"/>
      <c r="E985" s="3"/>
      <c r="F985" s="3"/>
      <c r="G985" s="3"/>
    </row>
    <row r="986">
      <c r="A986" s="4"/>
      <c r="B986" s="3"/>
      <c r="C986" s="3"/>
      <c r="D986" s="3"/>
      <c r="E986" s="3"/>
      <c r="F986" s="3"/>
      <c r="G986" s="3"/>
    </row>
    <row r="987">
      <c r="A987" s="4"/>
      <c r="B987" s="3"/>
      <c r="C987" s="3"/>
      <c r="D987" s="3"/>
      <c r="E987" s="3"/>
      <c r="F987" s="3"/>
      <c r="G987" s="3"/>
    </row>
    <row r="988">
      <c r="A988" s="4"/>
      <c r="B988" s="3"/>
      <c r="C988" s="3"/>
      <c r="D988" s="3"/>
      <c r="E988" s="3"/>
      <c r="F988" s="3"/>
      <c r="G988" s="3"/>
    </row>
    <row r="989">
      <c r="A989" s="4"/>
      <c r="B989" s="3"/>
      <c r="C989" s="3"/>
      <c r="D989" s="3"/>
      <c r="E989" s="3"/>
      <c r="F989" s="3"/>
      <c r="G989" s="3"/>
    </row>
    <row r="990">
      <c r="A990" s="4"/>
      <c r="B990" s="3"/>
      <c r="C990" s="3"/>
      <c r="D990" s="3"/>
      <c r="E990" s="3"/>
      <c r="F990" s="3"/>
      <c r="G990" s="3"/>
    </row>
    <row r="991">
      <c r="A991" s="4"/>
      <c r="B991" s="3"/>
      <c r="C991" s="3"/>
      <c r="D991" s="3"/>
      <c r="E991" s="3"/>
      <c r="F991" s="3"/>
      <c r="G991" s="3"/>
    </row>
    <row r="992">
      <c r="A992" s="4"/>
      <c r="B992" s="3"/>
      <c r="C992" s="3"/>
      <c r="D992" s="3"/>
      <c r="E992" s="3"/>
      <c r="F992" s="3"/>
      <c r="G992" s="3"/>
    </row>
    <row r="993">
      <c r="A993" s="4"/>
      <c r="B993" s="3"/>
      <c r="C993" s="3"/>
      <c r="D993" s="3"/>
      <c r="E993" s="3"/>
      <c r="F993" s="3"/>
      <c r="G993" s="3"/>
    </row>
    <row r="994">
      <c r="A994" s="4"/>
      <c r="B994" s="3"/>
      <c r="C994" s="3"/>
      <c r="D994" s="3"/>
      <c r="E994" s="3"/>
      <c r="F994" s="3"/>
      <c r="G994" s="3"/>
    </row>
    <row r="995">
      <c r="A995" s="4"/>
      <c r="B995" s="3"/>
      <c r="C995" s="3"/>
      <c r="D995" s="3"/>
      <c r="E995" s="3"/>
      <c r="F995" s="3"/>
      <c r="G995" s="3"/>
    </row>
    <row r="996">
      <c r="A996" s="4"/>
      <c r="B996" s="3"/>
      <c r="C996" s="3"/>
      <c r="D996" s="3"/>
      <c r="E996" s="3"/>
      <c r="F996" s="3"/>
      <c r="G996" s="3"/>
    </row>
    <row r="997">
      <c r="A997" s="4"/>
      <c r="B997" s="3"/>
      <c r="C997" s="3"/>
      <c r="D997" s="3"/>
      <c r="E997" s="3"/>
      <c r="F997" s="3"/>
      <c r="G997" s="3"/>
    </row>
    <row r="998">
      <c r="A998" s="4"/>
      <c r="B998" s="3"/>
      <c r="C998" s="3"/>
      <c r="D998" s="3"/>
      <c r="E998" s="3"/>
      <c r="F998" s="3"/>
      <c r="G998" s="3"/>
    </row>
    <row r="999">
      <c r="A999" s="4"/>
      <c r="B999" s="3"/>
      <c r="C999" s="3"/>
      <c r="D999" s="3"/>
      <c r="E999" s="3"/>
      <c r="F999" s="3"/>
      <c r="G999" s="3"/>
    </row>
    <row r="1000">
      <c r="A1000" s="4"/>
      <c r="B1000" s="3"/>
      <c r="C1000" s="3"/>
      <c r="D1000" s="3"/>
      <c r="E1000" s="3"/>
      <c r="F1000" s="3"/>
      <c r="G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9.75"/>
    <col customWidth="1" min="3" max="3" width="22.5"/>
    <col customWidth="1" min="4" max="4" width="6.75"/>
    <col customWidth="1" min="5" max="5" width="45.25"/>
  </cols>
  <sheetData>
    <row r="1">
      <c r="A1" s="10" t="s">
        <v>57</v>
      </c>
      <c r="B1" s="11" t="s">
        <v>58</v>
      </c>
      <c r="C1" s="11" t="s">
        <v>59</v>
      </c>
      <c r="D1" s="11" t="s">
        <v>60</v>
      </c>
      <c r="E1" s="11" t="s">
        <v>61</v>
      </c>
    </row>
    <row r="2">
      <c r="A2" s="12">
        <v>46096.0</v>
      </c>
      <c r="B2" s="10" t="s">
        <v>62</v>
      </c>
      <c r="C2" s="10" t="s">
        <v>63</v>
      </c>
      <c r="D2" s="10">
        <v>117000.0</v>
      </c>
      <c r="E2" s="10" t="s">
        <v>64</v>
      </c>
    </row>
    <row r="3">
      <c r="A3" s="12">
        <v>46091.0</v>
      </c>
      <c r="B3" s="10" t="s">
        <v>65</v>
      </c>
      <c r="C3" s="10" t="s">
        <v>66</v>
      </c>
      <c r="D3" s="10">
        <v>45000.0</v>
      </c>
      <c r="E3" s="10" t="s">
        <v>67</v>
      </c>
    </row>
    <row r="4">
      <c r="A4" s="12">
        <v>46124.0</v>
      </c>
      <c r="B4" s="10" t="s">
        <v>65</v>
      </c>
      <c r="C4" s="10" t="s">
        <v>68</v>
      </c>
      <c r="D4" s="10">
        <v>10000.0</v>
      </c>
      <c r="E4" s="10" t="s">
        <v>69</v>
      </c>
    </row>
    <row r="5">
      <c r="A5" s="12">
        <v>46023.0</v>
      </c>
      <c r="B5" s="10" t="s">
        <v>70</v>
      </c>
      <c r="C5" s="10" t="s">
        <v>71</v>
      </c>
      <c r="D5" s="10">
        <v>190000.0</v>
      </c>
      <c r="E5" s="10" t="s">
        <v>72</v>
      </c>
    </row>
    <row r="7">
      <c r="A7" s="12">
        <v>46387.0</v>
      </c>
      <c r="B7" s="10" t="s">
        <v>73</v>
      </c>
      <c r="C7" s="10" t="s">
        <v>74</v>
      </c>
      <c r="D7" s="10">
        <v>185000.0</v>
      </c>
      <c r="E7" s="10" t="s">
        <v>75</v>
      </c>
    </row>
    <row r="8">
      <c r="A8" s="10" t="s">
        <v>76</v>
      </c>
      <c r="B8" s="10" t="s">
        <v>62</v>
      </c>
      <c r="C8" s="10" t="s">
        <v>77</v>
      </c>
      <c r="D8" s="10">
        <v>100000.0</v>
      </c>
      <c r="E8" s="10" t="s">
        <v>78</v>
      </c>
    </row>
    <row r="9">
      <c r="A9" s="12">
        <v>46387.0</v>
      </c>
      <c r="B9" s="10" t="s">
        <v>79</v>
      </c>
      <c r="C9" s="10" t="s">
        <v>80</v>
      </c>
      <c r="D9" s="10">
        <v>75000.0</v>
      </c>
      <c r="E9" s="10" t="s">
        <v>81</v>
      </c>
    </row>
    <row r="10">
      <c r="A10" s="12">
        <v>46387.0</v>
      </c>
      <c r="B10" s="10" t="s">
        <v>62</v>
      </c>
      <c r="C10" s="10" t="s">
        <v>82</v>
      </c>
      <c r="D10" s="10">
        <v>85000.0</v>
      </c>
      <c r="E10" s="10" t="s">
        <v>83</v>
      </c>
    </row>
    <row r="11">
      <c r="A11" s="10" t="s">
        <v>84</v>
      </c>
      <c r="B11" s="10" t="s">
        <v>62</v>
      </c>
      <c r="C11" s="10" t="s">
        <v>85</v>
      </c>
      <c r="D11" s="11">
        <v>12000.0</v>
      </c>
      <c r="E11" s="10" t="s">
        <v>86</v>
      </c>
    </row>
    <row r="12">
      <c r="A12" s="12">
        <v>46327.0</v>
      </c>
      <c r="B12" s="10" t="s">
        <v>87</v>
      </c>
      <c r="C12" s="10" t="s">
        <v>88</v>
      </c>
      <c r="D12" s="10">
        <v>48000.0</v>
      </c>
      <c r="E12" s="10" t="s">
        <v>89</v>
      </c>
    </row>
    <row r="13">
      <c r="A13" s="12">
        <v>46387.0</v>
      </c>
      <c r="B13" s="10" t="s">
        <v>62</v>
      </c>
      <c r="C13" s="10" t="s">
        <v>90</v>
      </c>
      <c r="D13" s="10">
        <v>8500.0</v>
      </c>
      <c r="E13" s="10" t="s">
        <v>91</v>
      </c>
    </row>
    <row r="14">
      <c r="A14" s="12">
        <v>46387.0</v>
      </c>
      <c r="B14" s="10" t="s">
        <v>70</v>
      </c>
      <c r="C14" s="10" t="s">
        <v>92</v>
      </c>
      <c r="D14" s="10">
        <v>3780.0</v>
      </c>
      <c r="E14" s="10" t="s">
        <v>93</v>
      </c>
    </row>
    <row r="15">
      <c r="A15" s="12">
        <v>46387.0</v>
      </c>
      <c r="B15" s="10" t="s">
        <v>70</v>
      </c>
      <c r="C15" s="10" t="s">
        <v>94</v>
      </c>
      <c r="D15" s="11">
        <v>1450000.0</v>
      </c>
      <c r="E15" s="10" t="s">
        <v>95</v>
      </c>
    </row>
    <row r="16">
      <c r="A16" s="12">
        <v>46082.0</v>
      </c>
      <c r="B16" s="10" t="s">
        <v>96</v>
      </c>
      <c r="C16" s="10" t="s">
        <v>97</v>
      </c>
      <c r="D16" s="11">
        <v>75000.0</v>
      </c>
      <c r="E16" s="10" t="s">
        <v>98</v>
      </c>
    </row>
    <row r="17">
      <c r="A17" s="12">
        <v>44362.0</v>
      </c>
      <c r="B17" s="10" t="s">
        <v>96</v>
      </c>
      <c r="C17" s="10" t="s">
        <v>99</v>
      </c>
      <c r="D17" s="11">
        <v>50000.0</v>
      </c>
      <c r="E17" s="10" t="s">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38"/>
    <col customWidth="1" min="2" max="2" width="69.75"/>
    <col customWidth="1" min="3" max="3" width="84.25"/>
    <col customWidth="1" min="4" max="4" width="15.13"/>
    <col customWidth="1" min="5" max="5" width="5.25"/>
  </cols>
  <sheetData>
    <row r="1">
      <c r="A1" s="13" t="s">
        <v>101</v>
      </c>
      <c r="B1" s="13" t="s">
        <v>0</v>
      </c>
      <c r="C1" s="13" t="s">
        <v>102</v>
      </c>
      <c r="D1" s="13" t="s">
        <v>103</v>
      </c>
      <c r="E1" s="13" t="s">
        <v>104</v>
      </c>
    </row>
    <row r="2">
      <c r="B2" s="4" t="str">
        <f>Rules!A2</f>
        <v>§168</v>
      </c>
      <c r="C2" s="3" t="str">
        <f>IF(Rules!A2&lt;&gt;"", Rules!A2 &amp; " - ", "") &amp; SUBSTITUTE(SUBSTITUTE(SUBSTITUTE(SUBSTITUTE(Rules!F2, "[Entity]", "your small business"), "\[Date\]", TEXT(QB_Data!A2, "mmmm d, yyyy")), "\[Amount\]", TEXT(QB_Data!D2, "$#,##0")), "⚠️ Disclaimer:", "💰 Estimated Tax Impact: Based on your equipment purchase, you could see a tax savings of approximately " &amp; TEXT(QB_Data!D2*0.21, "$#,##0") &amp; " (assuming a 21% corporate tax rate)." &amp; CHAR(10) &amp; CHAR(10) &amp; "⚠️ Disclaimer:")</f>
        <v>§168 - 🚨 Important: 100% Bonus Depreciation Restoration for your small business
How this affects you:
Great news for [Date]\! Under the newly restored provisions of IRC Section 168(k), your business can now immediately deduct 100% of the cost of qualified property placed in service after January 19, 2025. This allows your small business to write off the full [Amount] of eligible investments—such as machinery, equipment, computer software, and certain vehicles—in a single year rather than over a standard depreciation schedule, significantly reducing your taxable income and improving immediate cash flow.
✅ Verify that the property meets the "original use" requirement or was newly acquired by your business
✅ Ensure the assets have a recovery period of 20 years or less to qualify for the full deduction
✅ Update your QuickBooks fixed asset records to reflect the 100% first-year allowance election
📚 Source: IRC Section 168
💰 Estimated Tax Impact: Based on your equipment purchase, you could see a tax savings of approximately $24,570 (assuming a 21% corporate tax rate).
⚠️ Disclaimer: This template is for informational purposes only. Tax laws are subject to change and eligibility criteria for qualified property are complex. Please consult with a qualified tax professional to confirm compliance for your specific situation.</v>
      </c>
      <c r="D2" s="4"/>
      <c r="E2" s="4"/>
    </row>
    <row r="3">
      <c r="B3" s="4" t="str">
        <f>Rules!A3</f>
        <v>§179</v>
      </c>
      <c r="C3" s="3" t="str">
        <f>IF(Rules!A3&lt;&gt;"", Rules!A3 &amp; " - ", "") &amp; SUBSTITUTE(SUBSTITUTE(SUBSTITUTE(SUBSTITUTE(Rules!F3, "[Entity]", "your small business"), "\[Date\]", TEXT(QB_Data!A3, "mmmm d, yyyy")), "\[Amount\]", TEXT(QB_Data!D3, "$#,##0")), "⚠️ Disclaimer:", "💰 Estimated Tax Impact: Based on your equipment purchase, you could see a tax savings of approximately " &amp; TEXT(QB_Data!D3*0.21, "$#,##0") &amp; " (assuming a 21% corporate tax rate)." &amp; CHAR(10) &amp; CHAR(10) &amp; "⚠️ Disclaimer:")</f>
        <v>§179 - 🚨 Important: Section 179 Expensing Update for your small business
How this affects you:
Great news for [Year]! Based on your [R&amp;D_Spend] in qualifying property investments, your business could be eligible for a significant tax deduction. We estimate your potential credit at [Credit_Estimate]. This incentive allows your small business to treat the cost of qualifying section 179 property—like equipment, software, and certain real property improvements—as an immediate expense rather than a capital charge. For the [Year] taxable year, you can deduct up to $2,500,000 of the adjusted basis for assets placed in service this year.
✅ File Form 6765 to elect and claim your specific section 179 deductions
✅ Schedule a CPA review to ensure your property meet "active conduct of trade or business" requirements
✅ Update your QuickBooks tagging for all fixed assets to automate tracking and compliance
📚 Source: IRC Section 179
💰 Estimated Tax Impact: Based on your equipment purchase, you could see a tax savings of approximately $9,450 (assuming a 21% corporate tax rate).
⚠️ Disclaimer: This template is for informational purposes only. Tax laws are subject to change and individual circumstances vary. Please consult with a qualified tax professional to confirm eligibility and compliance for your specific entity.</v>
      </c>
      <c r="D3" s="4"/>
      <c r="E3" s="4"/>
    </row>
    <row r="4">
      <c r="B4" s="4" t="str">
        <f>Rules!A4</f>
        <v>§41</v>
      </c>
      <c r="C4" s="3" t="str">
        <f>IF(Rules!A4&lt;&gt;"", Rules!A4 &amp; " - ", "") &amp; SUBSTITUTE(SUBSTITUTE(SUBSTITUTE(SUBSTITUTE(SUBSTITUTE(Rules!F4, "[Entity]", "your small business"), "[Year]", TEXT(TODAY(),"yyyy")), "[R&amp;D_Spend]", TEXT(QB_Data!D4,"$#,##0")), "[Credit_Estimate]", TEXT(QB_Data!D4*0.15,"$#,##0")), "⚠️ Disclaimer:", "💰 Estimated Credit Impact: Based on your R&amp;D spend, you may qualify for ~" &amp; TEXT(QB_Data!D4*0.15,"$#,##0") &amp; " (conservative 15% rate). " &amp; CHAR(10) &amp; CHAR(10) &amp; "⚠️ Disclaimer:")</f>
        <v>§41 - 🚨 Important: Research &amp; Development Tax Credit for your small business
How this affects you:
Great news for 2026\! Based on your $10,000 in qualified research expenses, your business could be eligible for a significant tax credit. We estimate your potential credit at $1,500. This incentive is designed to reward your innovation by allowing you to claim a credit for wages, supplies, and contract research, helping you reinvest in your company's growth.
✅ Ensure all qualified expenses are properly documented for Form 6765
✅ Schedule a CPA review to verify your eligibility and maximize your credit
✅ Confirm that all R\&amp;D-related transactions are correctly tagged in QuickBooks
📚 Source: IRC Section 41
💰 Estimated Credit Impact: Based on your R&amp;D spend, you may qualify for ~$1,500 (conservative 15% rate). 
⚠️ Disclaimer: This template is for informational purposes only. Tax laws are subject to change and individual circumstances vary. Please consult with a qualified tax professional to confirm eligibility and compliance for your specific entity.</v>
      </c>
      <c r="D4" s="4"/>
      <c r="E4" s="4"/>
    </row>
    <row r="5">
      <c r="A5" s="14"/>
      <c r="B5" s="4" t="str">
        <f>Rules!A5</f>
        <v>§3121</v>
      </c>
      <c r="C5" s="2" t="s">
        <v>105</v>
      </c>
      <c r="D5" s="3"/>
      <c r="E5" s="3"/>
      <c r="F5" s="14"/>
      <c r="G5" s="14"/>
      <c r="H5" s="14"/>
      <c r="I5" s="14"/>
      <c r="J5" s="14"/>
      <c r="K5" s="14"/>
      <c r="L5" s="14"/>
      <c r="M5" s="14"/>
      <c r="N5" s="14"/>
      <c r="O5" s="14"/>
      <c r="P5" s="14"/>
      <c r="Q5" s="14"/>
      <c r="R5" s="14"/>
      <c r="S5" s="14"/>
      <c r="T5" s="14"/>
      <c r="U5" s="14"/>
      <c r="V5" s="14"/>
      <c r="W5" s="14"/>
      <c r="X5" s="14"/>
      <c r="Y5" s="14"/>
      <c r="Z5" s="14"/>
    </row>
    <row r="6">
      <c r="B6" s="4" t="str">
        <f>Rules!A6</f>
        <v/>
      </c>
      <c r="C6" s="4"/>
      <c r="D6" s="4"/>
      <c r="E6" s="4"/>
    </row>
    <row r="7">
      <c r="A7" s="4"/>
      <c r="B7" s="4" t="str">
        <f>Rules!A7</f>
        <v>§199A</v>
      </c>
      <c r="C7" s="2" t="str">
        <f>IF(Rules!A7&lt;&gt;"", Rules!A7 &amp; " - ", "") &amp; SUBSTITUTE(SUBSTITUTE(SUBSTITUTE(SUBSTITUTE(SUBSTITUTE(SUBSTITUTE(Rules!F7, "[Entity]", "your S-Corp/LLC"), "[QBI_Amount]", TEXT(QB_Data!D7,"$#,##0")), "[Deduction_Estimate]", TEXT(QB_Data!D7*0.2,"$#,##0")), "[W2_Wages]", "$65,000"), "[Taxable_Threshold]", TEXT(191950,"$#,##0")), "⚠️ Disclaimer:", "💰 Estimated QBI Deduction: Based on $"&amp;TEXT(QB_Data!D7,"#,##0")&amp;" qualified income, you may deduct up to "&amp;TEXT(QB_Data!D7*0.2,"$#,##0")&amp;" (20%). Actual amount depends on W-2 wages, property basis, and taxable income thresholds. " &amp; CHAR(10) &amp; CHAR(10) &amp; "⚠️ Disclaimer:")</f>
        <v>§199A - 🚨 Important: Qualified Business Income Deduction Update for your S-Corp/LLC
How this affects you:
Great news\! Based on your $185,000 in qualified business income, your entity may be eligible for a deduction of up to 20%, estimated at $37,000. This deduction can significantly reduce your taxable income. Please note that if your business is a Specified Service Trade or Business (SSTB), the deduction may be limited or phased out based on your total taxable income and the \$65,000 paid by the business.
✅ Verify if your total taxable income is below the threshold for the full 20% deduction
✅ Review your \$65,000 and unadjusted basis immediately after acquisition (UBIA) of qualified property to determine if wage and property limitations apply
✅ Consult with a CPA to confirm your business classification and maximize your eligible deduction
📚 Source: IRC Section 199A
💰 Estimated QBI Deduction: Based on $185,000 qualified income, you may deduct up to $37,000 (20%). Actual amount depends on W-2 wages, property basis, and taxable income thresholds. 
⚠️ Disclaimer: This template is for informational purposes only. Tax laws are subject to change and individual circumstances vary. Please consult with a qualified tax professional to confirm eligibility and compliance for your specific entity.</v>
      </c>
      <c r="D7" s="4"/>
      <c r="E7" s="4"/>
    </row>
    <row r="8">
      <c r="A8" s="4"/>
      <c r="B8" s="4" t="str">
        <f>Rules!A8</f>
        <v>§174</v>
      </c>
      <c r="C8" s="2" t="str">
        <f>IF(Rules!A8&lt;&gt;"", Rules!A8 &amp; " - ", "") &amp; SUBSTITUTE(SUBSTITUTE(SUBSTITUTE(SUBSTITUTE(SUBSTITUTE(SUBSTITUTE(Rules!F8, "[Entity]", "your S-Corp/LLC"), "[QBI_Amount]", TEXT(QB_Data!D8,"$#,##0")), "[Deduction_Estimate]", TEXT(QB_Data!D8*0.2,"$#,##0")), "[W2_Wages]", "$65,000"), "[Taxable_Threshold]", TEXT(191950,"$#,##0")), "⚠️ Disclaimer:", "💰 Estimated QBI Deduction: Based on $"&amp;TEXT(QB_Data!D8,"#,##0")&amp;" qualified income, you may deduct up to "&amp;TEXT(QB_Data!D8*0.2,"$#,##0")&amp;" (20%). Actual amount depends on W-2 wages, property basis, and taxable income thresholds. " &amp; CHAR(10) &amp; CHAR(10) &amp; "⚠️ Disclaimer:")</f>
        <v>§174 - 🚨 Important: Foreign R&amp;D Capitalization Update for your S-Corp/LLC
How this affects you:
IRC Section 174 requires that all foreign research and experimental expenditures, including software development costs, must be capitalized rather than deducted immediately. These expenses must now be amortized ratably over a 15-year period, beginning with the midpoint of the taxable year in which they were incurred.
✅ Identify all foreign-based research, software development, and experimental expenditures
✅ Ensure these costs are moved to a capital account for proper amortization tracking
✅ Update your tax projections to account for the longer 15-year recovery period for foreign R\&amp;D
📚 Source: IRC Section 174
💰 Estimated QBI Deduction: Based on $100,000 qualified income, you may deduct up to $20,000 (20%). Actual amount depends on W-2 wages, property basis, and taxable income thresholds. 
⚠️ Disclaimer: This template is for informational purposes only. Tax laws are subject to change and individual circumstances vary. Please consult with a qualified tax professional to confirm eligibility and compliance for your specific entity.</v>
      </c>
      <c r="D8" s="4"/>
      <c r="E8" s="4"/>
    </row>
    <row r="9">
      <c r="A9" s="4"/>
      <c r="B9" s="4" t="str">
        <f>Rules!A9</f>
        <v>§263A</v>
      </c>
      <c r="C9" s="2" t="str">
        <f>IF(Rules!A9&lt;&gt;"", Rules!A9 &amp; " - ", "") &amp; SUBSTITUTE(SUBSTITUTE(SUBSTITUTE(SUBSTITUTE(SUBSTITUTE(SUBSTITUTE(Rules!F9, "[Entity]", "your S-Corp/LLC"), "[QBI_Amount]", TEXT(QB_Data!D9,"$#,##0")), "[Deduction_Estimate]", TEXT(QB_Data!D9*0.2,"$#,##0")), "[W2_Wages]", "$65,000"), "[Taxable_Threshold]", TEXT(191950,"$#,##0")), "⚠️ Disclaimer:", "💰 Estimated QBI Deduction: Based on $"&amp;TEXT(QB_Data!D9,"#,##0")&amp;" qualified income, you may deduct up to "&amp;TEXT(QB_Data!D9*0.2,"$#,##0")&amp;" (20%). Actual amount depends on W-2 wages, property basis, and taxable income thresholds. " &amp; CHAR(10) &amp; CHAR(10) &amp; "⚠️ Disclaimer:")</f>
        <v>§263A - 🚨 Important: UNICAP Compliance Update for your S-Corp/LLC
How this affects you:
IRC Section 263A (UNICAP) requires your business to capitalize certain direct and indirect costs into inventory or asset basis rather than deducting them as current expenses. If your average annual gross receipts exceed the [Threshold] small business exemption, you must capitalize costs like direct labor, materials, and a share of overhead allocable to produced or resold property.
✅ Identify all direct and indirect production or resale costs for capitalization
✅ Verify if your average annual gross receipts are below the [Threshold] exemption limit
✅ Ensure your QuickBooks Chart of Accounts correctly tracks inventory and capitalized overhead
📚 Source: IRC Section 263A
💰 Estimated QBI Deduction: Based on $75,000 qualified income, you may deduct up to $15,000 (20%). Actual amount depends on W-2 wages, property basis, and taxable income thresholds. 
⚠️ Disclaimer: This template is for informational purposes only. Tax laws are subject to change and individual circumstances vary. Please consult with a qualified tax professional to confirm eligibility and compliance for your specific entity.</v>
      </c>
      <c r="D9" s="4"/>
      <c r="E9" s="4"/>
    </row>
    <row r="10">
      <c r="A10" s="4"/>
      <c r="B10" s="4" t="str">
        <f>Rules!A10</f>
        <v>§163(j)</v>
      </c>
      <c r="C10" s="2" t="str">
        <f>IF(Rules!A10&lt;&gt;"", Rules!A10 &amp; " - ", "") &amp; SUBSTITUTE(SUBSTITUTE(SUBSTITUTE(SUBSTITUTE(SUBSTITUTE(SUBSTITUTE(Rules!F10, "[Entity]", "your S-Corp/LLC"), "[QBI_Amount]", TEXT(QB_Data!D10,"$#,##0")), "[Deduction_Estimate]", TEXT(QB_Data!D10*0.2,"$#,##0")), "[W2_Wages]", "$65,000"), "[Taxable_Threshold]", TEXT(191950,"$#,##0")), "⚠️ Disclaimer:", "💰 Estimated QBI Deduction: Based on $"&amp;TEXT(QB_Data!D10,"#,##0")&amp;" qualified income, you may deduct up to "&amp;TEXT(QB_Data!D10*0.2,"$#,##0")&amp;" (20%). Actual amount depends on W-2 wages, property basis, and taxable income thresholds. " &amp; CHAR(10) &amp; CHAR(10) &amp; "⚠️ Disclaimer:")</f>
        <v>§163(j) - 🚨 Important: Business Interest Deduction Update for your S-Corp/LLC
How this affects you:
Based on your [Interest_Expense] and [EBITDA], your business interest deduction is generally limited to 30% of your adjusted taxable income. We estimate your current deduction limit at [Deduction_Limit], with a potential \[Disallowed\_Amount\] to be carried forward. This carryforward note ensures that any disallowed interest is not lost but can be treated as an expense in succeeding taxable years.
✅ Review your [EBITDA] and adjusted taxable income calculations for accuracy
✅ Implement a system for detailed interest tracking to manage carryforwards
✅ Consult with a CPA to evaluate debt structuring or potential elections
📚 Source: IRC Section 163(j)
💰 Estimated QBI Deduction: Based on $85,000 qualified income, you may deduct up to $17,000 (20%). Actual amount depends on W-2 wages, property basis, and taxable income thresholds. 
⚠️ Disclaimer: This template is for informational purposes only. Tax laws are subject to change and individual circumstances vary. Please consult with a qualified tax professional to confirm eligibility and compliance for your specific entity.</v>
      </c>
      <c r="D10" s="4"/>
      <c r="E10" s="4"/>
    </row>
    <row r="11">
      <c r="A11" s="4"/>
      <c r="B11" s="4" t="str">
        <f>Rules!A11</f>
        <v>§274</v>
      </c>
      <c r="C11" s="3" t="str">
        <f>IF(Rules!A11&lt;&gt;"", Rules!A11 &amp; " - ", "") &amp; SUBSTITUTE(SUBSTITUTE(SUBSTITUTE(SUBSTITUTE(SUBSTITUTE(SUBSTITUTE(SUBSTITUTE(SUBSTITUTE(Rules!F11, "[Entity]", "your small business"), "[Meal_Expense]", TEXT(QB_Data!D11,"$#,##0")), "[Deductible_Amount]", TEXT((QB_Data!D11-3000)*0.5,"$#,##0")), "[NonDeductible_Amount]", TEXT((QB_Data!D11-3000)*0.5+3000,"$#,##0")), "[Entertainment_Amount]", TEXT(3000,"$#,##0")), "[Tax_Impact]", TEXT(((QB_Data!D11-3000)*0.5+3000)*0.21,"$#,##0")), "[Policy_Check]", "Review T&amp;E policy"), "⚠️ Disclaimer:", "💰 Estimated Deduction Impact: Of your $"&amp;TEXT(QB_Data!D11,"#,##0")&amp;" in meals/entertainment: $"&amp;TEXT(3000,"#,##0")&amp;" entertainment is 0% deductible. Remaining $"&amp;TEXT(QB_Data!D11-3000,"#,##0")&amp;" meals: 50% deductible (~"&amp;TEXT((QB_Data!D11-3000)*0.5,"$#,##0")&amp;"). Non-deductible total: "&amp;TEXT((QB_Data!D11-3000)*0.5+3000,"$#,##0")&amp;". Potential tax impact: ~"&amp;TEXT(((QB_Data!D11-3000)*0.5+3000)*0.21,"$#,##0")&amp;". " &amp; CHAR(10) &amp; CHAR(10) &amp; "⚠️ Disclaimer:")</f>
        <v>§274 - 🚨 Important: Business Meal and Entertainment Deduction Update for your small business
How this affects you:
Beginning in 2026, tax laws regarding meals and entertainment have tightened. While business meals with clients remain 50% deductible, most employer-provided meals (like on-site snacks or cafeteria food) are now nondeductible. Based on your current $12,000, we estimate your $4,500 and $7,500. Note that entertainment activities—such as sporting events, golf, or club dues—remain 100% nondeductible even if they have a business purpose.
✅ Maintain detailed records for each meal, including the business purpose, relationship of attendees, date, and location to substantiate the 50% deduction
✅ Review and update your internal reimbursement policies to reflect the total loss of deductions for employer-provided convenience meals
✅ Tag all food and beverage expenses in QuickBooks by class or category to distinguish between 50% deductible travel/client meals and nondeductible entertainment
📚 Source: IRC Section 274
💰 Estimated Deduction Impact: Of your $12,000 in meals/entertainment: $3,000 entertainment is 0% deductible. Remaining $9,000 meals: 50% deductible (~$4,500). Non-deductible total: $7,500. Potential tax impact: ~$1,575. 
⚠️ Disclaimer: This template is for informational purposes only. Tax laws are subject to change and individual circumstances vary. Please consult with a qualified tax professional to confirm eligibility and compliance for your specific entity.</v>
      </c>
      <c r="D11" s="4"/>
      <c r="E11" s="4"/>
    </row>
    <row r="12">
      <c r="A12" s="4"/>
      <c r="B12" s="4" t="str">
        <f>Rules!A12</f>
        <v>§451</v>
      </c>
      <c r="C12" s="3" t="str">
        <f>IF(Rules!A12&lt;&gt;"", Rules!A12 &amp; " - ", "") &amp; SUBSTITUTE(SUBSTITUTE(SUBSTITUTE(SUBSTITUTE(SUBSTITUTE(SUBSTITUTE(SUBSTITUTE(SUBSTITUTE(Rules!F12, "[Entity]", "your SaaS/subscription business"), "[Advance_Payment]", TEXT(QB_Data!D12,"$#,##0")), "[Recognized_This_Year]", TEXT(QB_Data!D12/12*2,"$#,##0")), "[Deferred_Amount]", TEXT(QB_Data!D12/12*10,"$#,##0")), "[Cash_Flow_Impact]", TEXT(QB_Data!D12,"$#,##0")), "[Tax_Timing]", "2026 vs. 2027"), "[Working_Capital]", TEXT(QB_Data!D12/12*10,"$#,##0")), "⚠️ Disclaimer:", "💰 Estimated Revenue Timing Impact: Under §451, your "&amp;TEXT(QB_Data!D12,"$#,##0")&amp;" advance payment may be recognized ratably over the contract term. Recognized in 2026: ~"&amp;TEXT(QB_Data!D12/12*2,"$#,##0")&amp;" (2 months). Deferred to 2027: ~"&amp;TEXT(QB_Data!D12/12*10,"$#,##0")&amp;" (10 months). This creates a book-tax timing difference affecting your 2026 Effective Tax Rate and working capital. " &amp; CHAR(10) &amp; CHAR(10) &amp; "⚠️ Disclaimer:")</f>
        <v>§451 - 🚨 Important: Section 451 Advance Payment Update for your SaaS/subscription business
How this affects you:
Under IRC §451, your $48,000 in advance payments must be carefully tracked. By electing the deferral method, you can recognize $8,000 this year and defer $40,000 to the following year. This creates a 2026 vs. 2027 book-tax timing difference involving $48,000 that affects your current tax liability and $40,000 in working capital.
✅ Perform a year-end revenue cutoff review to identify all advance payments
✅ Ensure deferred revenue tracking is properly configured in QuickBooks
✅ Consult your CPA to formally elect the one-year deferral method
📚 Source: IRC Section 451
💰 Estimated Revenue Timing Impact: Under §451, your $48,000 advance payment may be recognized ratably over the contract term. Recognized in 2026: ~$8,000 (2 months). Deferred to 2027: ~$40,000 (10 months). This creates a book-tax timing difference affecting your 2026 Effective Tax Rate and working capital. 
⚠️ Disclaimer: This template is for informational purposes only. Tax laws are subject to change and individual circumstances vary. Please consult with a qualified tax professional to confirm eligibility and compliance for your specific entity.</v>
      </c>
      <c r="D12" s="4"/>
      <c r="E12" s="4"/>
    </row>
    <row r="13">
      <c r="A13" s="4"/>
      <c r="B13" s="4" t="str">
        <f>Rules!A13</f>
        <v>§280A</v>
      </c>
      <c r="C13" s="3" t="str">
        <f>IF(Rules!A13&lt;&gt;"", Rules!A13 &amp; " - ", "") &amp; SUBSTITUTE(SUBSTITUTE(SUBSTITUTE(SUBSTITUTE(SUBSTITUTE(SUBSTITUTE(SUBSTITUTE(SUBSTITUTE(SUBSTITUTE(Rules!F13, "[Entity]", "your home-based business"), "[Square_Footage]", TEXT(250,"#,##0")), "[Home_Office_Expense]", TEXT(QB_Data!D13,"$#,##0")), "[Business_Percent]", TEXT(0.125*100,"0")&amp;"%"), "[Simplified_Deduction]", TEXT(MIN(250*5,1500),"$#,##0")), "[Regular_Deduction]", TEXT(QB_Data!D13*0.125,"$#,##0")), "[Method]", "Compare simplified ($5/sq ft) vs. regular (actual %)"), "[Tax_Impact]", TEXT(MAX(MIN(250*5,1500),QB_Data!D13*0.125)*0.21,"$#,##0")), "⚠️ Disclaimer:", "💰 Estimated Home Office Deduction: Your 250 sq ft office (12.5% of home) with "&amp;TEXT(QB_Data!D13,"#,##0")&amp;" in expenses. Simplified method: "&amp;TEXT(MIN(250*5,1500),"$#,##0")&amp;" ($5/sq ft, max $1,500). Regular method: "&amp;TEXT(QB_Data!D13*0.125,"$#,##0")&amp;" (actual expenses × 12.5%). Use the higher amount. Potential tax impact: ~"&amp;TEXT(MAX(MIN(250*5,1500),QB_Data!D13*0.125)*0.21,"$#,##0")&amp;". " &amp; CHAR(10) &amp; CHAR(10) &amp; "⚠️ Disclaimer:")</f>
        <v>§280A - 🚨 Important: Home Office Deduction Update for your home-based business
How this affects you:
Maximize your savings by choosing the best deduction method for your \[Square\_Footage\] sq. ft. home office. Based on your \[Home\_Office\_Expense\], you can compare the Simplified Method ($5/sq. ft. up to $1,500) against the Regular Method (actual expenses like rent and utilities). Using the \[Method\], your estimated [Deductible_Amount] can significantly lower your taxable income.
✅ Verify the home office space is used exclusively and regularly for your business
✅ Maintain accurate records of your total home and office square footage
✅ Review both calculation methods annually to ensure you select the highest deduction
📚 Source: IRC Section 280A
💰 Estimated Home Office Deduction: Your 250 sq ft office (12.5% of home) with 8,500 in expenses. Simplified method: $1,250 ($5/sq ft, max $1,500). Regular method: $1,063 (actual expenses × 12.5%). Use the higher amount. Potential tax impact: ~$263. 
⚠️ Disclaimer: This template is for informational purposes only. Tax laws are subject to change and individual circumstances vary. Please consult with a qualified tax professional to confirm eligibility and compliance for your specific entity.</v>
      </c>
      <c r="D13" s="4"/>
      <c r="E13" s="4"/>
    </row>
    <row r="14">
      <c r="A14" s="4"/>
      <c r="B14" s="4" t="str">
        <f>Rules!A14</f>
        <v>§132</v>
      </c>
      <c r="C14" s="14" t="str">
        <f>IF(Rules!A14&lt;&gt;"", Rules!A14 &amp; " - ", "") &amp; SUBSTITUTE(SUBSTITUTE(SUBSTITUTE(SUBSTITUTE(SUBSTITUTE(Rules!F14, "[Entity]", "your business"), "\[Benefit\_Type\]", "commuter benefit"), "\[Benefit\_Amount\]", TEXT(QB_Data!D14, "$#,##0")), "[Benefit_Type]", "commuter benefit"), "[Benefit_Amount]", TEXT(QB_Data!D14, "$#,##0"))</f>
        <v>§132 - 🚨 Important: Fringe Benefit Tax Exclusion Update for your business
How this affects you:
Based on your provided commuter benefit valued at $3,780, these benefits may be excluded from your employees' gross income. Under IRC Section 132, qualified fringe benefits—such as de minimis gifts, employee discounts, and transportation fringes—are not subject to federal income tax withholding or FICA taxes, reducing the overall tax burden for both the employer and employee.
✅ Review payroll records to identify all commuter benefit expenses provided to employees
✅ Verify that excluded benefits are correctly omitted from Form W-2 taxable wages
✅ Ensure all fringe benefit transactions are accurately tagged in QuickBooks for audit readiness
📚 Source: IRC Section 132
⚠️ Disclaimer: This template is for informational purposes only. Tax laws are subject to change and individual circumstances vary. Please consult with a qualified tax professional to confirm eligibility and compliance for your specific entity.</v>
      </c>
      <c r="D14" s="4"/>
      <c r="E14" s="4"/>
    </row>
    <row r="15">
      <c r="A15" s="4"/>
      <c r="B15" s="4" t="str">
        <f>Rules!A15</f>
        <v>§162(m)</v>
      </c>
      <c r="C15" s="14" t="str">
        <f>IF(Rules!A15&lt;&gt;"", Rules!A15 &amp; " - ", "") &amp; SUBSTITUTE(SUBSTITUTE(SUBSTITUTE(SUBSTITUTE(SUBSTITUTE(SUBSTITUTE(SUBSTITUTE(SUBSTITUTE(SUBSTITUTE(SUBSTITUTE(SUBSTITUTE(SUBSTITUTE(Rules!F15, "[Entity]", "your C-Corp"), "[Executive_Name]", "CEO"), "[Total_Comp]", TEXT(QB_Data!D15,"$#,##0")), "[Deductible_Amount]", TEXT(MIN(1000000+200000,QB_Data!D15),"$#,##0")), "[NonDeductible_Amount]", TEXT(MAX(0,QB_Data!D15-(1000000+200000)),"$#,##0")), "[Tax_Impact]", TEXT(MAX(0,QB_Data!D15-(1000000+200000))*0.21,"$#,##0")), "[Limit]", TEXT(1000000,"$#,##0")), "[Perf_Exception]", TEXT(200000,"$#,##0")), "[Covered_Check]", "Confirm covered employee status"), "[Perf_Doc]", "Document performance goals pre-payment"), "[Board_Approval]", "Verify shareholder approval if required"), "⚠️ Disclaimer:", "💰 Estimated Executive Comp Deduction Impact: Under §162(m), your deduction for CEO compensation is limited to $"&amp;TEXT(1000000,"#,##0")&amp;" + qualified performance-based pay (~"&amp;TEXT(200000,"$#,##0")&amp;"). Total comp: "&amp;TEXT(QB_Data!D15,"$#,##0")&amp;". Deductible: "&amp;TEXT(MIN(1000000+200000,QB_Data!D15),"$#,##0")&amp;". Non-deductible: "&amp;TEXT(MAX(0,QB_Data!D15-(1000000+200000)),"$#,##0")&amp;". Potential tax impact: ~"&amp;TEXT(MAX(0,QB_Data!D15-(1000000+200000))*0.21,"$#,##0")&amp;". " &amp; CHAR(10) &amp; CHAR(10) &amp; "⚠️ Disclaimer:")</f>
        <v>§162(m) - 🚨 Important: Executive Compensation Deduction Update for your C-Corp
How this affects you:
Under IRC Section 162(m), your annual federal tax deduction for compensation paid to \[Executive\_Name\] is capped at $1,000,000. Based on \[Total\_Comp\] in total remuneration, the $250,000 exceeding this limit is non-deductible, resulting in a \[Tax\_Impact\] to your entity's effective tax rate. Note that since the Tax Cuts and Jobs Act, the previous exception for performance-based compensation has been repealed; all forms of pay, including performance-contingent bonuses and equity, now count toward the $1M threshold.
✅ Identify and track all 'covered employees,' including the CEO, CFO, and top three officers, under the 'once covered, always covered' rule
✅ Maintain detailed documentation of performance goals and payment terms to support financial statement reporting of permanent book-tax differences
✅ Coordinate with a CPA or tax advisor to review controlled group aggregation rules and potential 2027 expansions to the top five highest-paid employees
📚 Source: IRC Section 162(m)
💰 Estimated Executive Comp Deduction Impact: Under §162(m), your deduction for CEO compensation is limited to $1,000,000 + qualified performance-based pay (~$200,000). Total comp: $1,450,000. Deductible: $1,200,000. Non-deductible: $250,000. Potential tax impact: ~$52,500. 
⚠️ Disclaimer: This template is for informational purposes only. Tax laws are subject to change and individual circumstances vary. Please consult with a qualified tax professional to confirm eligibility and compliance for your specific entity.</v>
      </c>
      <c r="D15" s="4"/>
      <c r="E15" s="4"/>
    </row>
    <row r="16">
      <c r="A16" s="4"/>
      <c r="B16" s="4" t="str">
        <f>Rules!A16</f>
        <v>§409A</v>
      </c>
      <c r="C16" s="14" t="str">
        <f>IF(Rules!A16&lt;&gt;"", Rules!A16 &amp; " - ", "") &amp; SUBSTITUTE(SUBSTITUTE(SUBSTITUTE(SUBSTITUTE(SUBSTITUTE(SUBSTITUTE(SUBSTITUTE(SUBSTITUTE(SUBSTITUTE(SUBSTITUTE(SUBSTITUTE(SUBSTITUTE(Rules!F16, "[Entity]", "your startup/growth business"), "[Deferral_Amount]", TEXT(QB_Data!D16,"$#,#0")), "[Valuation_Date]", "2026-01-15"), "[Distribution_Event]", "vesting/separation"), "[Penalty_Risk]", "20% + interest"), "[Tax_Impact]", TEXT(QB_Data!D16*0.2,"$#,#0")), "[FMV_Check]", "Confirm exercise price ≥ FMV"), "[Election_Timing]", "Deferral elections due before year earned"), "[Val_Review]", "Update 409A valuation annually"), "[Dist_Doc]", "Document permissible distribution events"), "[Comp_Review]", "Review comp agreements with counsel"), "⚠️ Disclaimer:", "💰 Estimated §409A Compliance Risk: Your $"&amp;TEXT(QB_Data!D16,"#,#0")&amp;" in stock-based compensation is subject to §409A timing rules. If exercise price &lt; FMV or distribution terms violate §409A: immediate taxation + 20% penalty (~"&amp;TEXT(QB_Data!D16*0.2,"$#,#0")&amp;") + interest. Ensure: (1) 409A valuation dated "&amp;TEXT("2026-01-15","mmmm d, yyyy")&amp;" is current, (2) deferral elections made pre-earnings, (3) distributions only upon permitted events. " &amp; CHAR(10) &amp; CHAR(10) &amp; "⚠️ Disclaimer:")</f>
        <v>§409A - 🚨 Urgent: Section 409A Compliance Alert for your startup/growth business
How this affects you:
IRC Section 409A strictly regulates the timing of nonqualified deferred compensation. Failure to comply with these rules triggers immediate taxation of your \[Deferral\_Amount\] in deferred pay, plus a mandatory 20% penalty—estimated at \[Penalty\_Risk\]—and accrued interest. To avoid these penalties, all deferral elections must generally be made by the end of the year preceding the service year, and distributions must be limited to specific events like \[Distribution\_Event\].
✅ Conduct a 409A valuation review by \[Valuation\_Date\] to ensure stock rights are not treated as deferred compensation
✅ Verify that all initial deferral elections were documented before the applicable year-end deadline
✅ Maintain strict documentation for all distribution events to prevent impermissible acceleration of benefits
📚 Source: IRC Section 409A
💰 Estimated §409A Compliance Risk: Your $75,000 in stock-based compensation is subject to §409A timing rules. If exercise price &lt; FMV or distribution terms violate §409A: immediate taxation + 20% penalty (~$15,000) + interest. Ensure: (1) 409A valuation dated January 15, 2026 is current, (2) deferral elections made pre-earnings, (3) distributions only upon permitted events. 
⚠️ Disclaimer: This template is for informational purposes only. Tax laws are subject to change and individual circumstances vary. Please consult with a qualified tax professional to confirm eligibility and compliance for your specific entity.</v>
      </c>
      <c r="D16" s="4"/>
      <c r="E16" s="4"/>
    </row>
    <row r="17">
      <c r="A17" s="4"/>
      <c r="B17" s="4" t="str">
        <f>Rules!A17</f>
        <v>§1202</v>
      </c>
      <c r="C17" s="14" t="str">
        <f>IF(Rules!A17&lt;&gt;"", Rules!A17 &amp; " - ", "") &amp; SUBSTITUTE(SUBSTITUTE(SUBSTITUTE(SUBSTITUTE(SUBSTITUTE(SUBSTITUTE(SUBSTITUTE(SUBSTITUTE(SUBSTITUTE(SUBSTITUTE(SUBSTITUTE(SUBSTITUTE(Rules!F17, "[Entity]", "your C-Corp startup"), "[Stock_Basis]", TEXT(QB_Data!D17,"$#,##0")), "[Exclusion_Amount]", TEXT(MIN(10000000,QB_Data!D17*10),"$#,##0")), "[Holding_Period]", "5+ years"), "[Eligibility_Check]", "C-Corp + active business + &lt;$50M assets"), "[Tax_Savings]", TEXT(MIN(10000000,QB_Data!D17*10)*0.238,"$#,##0")), "[Cap]", TEXT(10000000,"$#,##0")), "[Basis_Multiplier]", "10x"), "[Issue_Date]", "2021-06-15"), "[Maturity_Date]", "2026-06-15"), "[CG_Rate]", "23.8%"), "⚠️ Disclaimer:", "💰 Estimated QSBS Exclusion Impact: Your $"&amp;TEXT(QB_Data!D17,"#,##0")&amp;" basis in qualified small business stock may qualify for 100% capital gains exclusion under §1202. Max exclusion: greater of $"&amp;TEXT(10000000,"#,##0")&amp;" or 10x basis (~"&amp;TEXT(QB_Data!D17*10,"$#,##0")&amp;") → capped at "&amp;TEXT(MIN(10000000,QB_Data!D17*10),"$#,##0")&amp;". Potential tax savings at 23.8% capital gains rate: ~"&amp;TEXT(MIN(10000000,QB_Data!D17*10)*0.238,"$#,##0")&amp;". Requirements: C-Corp at issuance, active qualified business, gross assets &lt; $50M, original issuance, 5+ year holding (started "&amp;TEXT("2021-06-15","mmmm d, yyyy")&amp;"; matures "&amp;TEXT("2026-06-15","mmmm d, yyyy")&amp;"). " &amp; CHAR(10) &amp; CHAR(10) &amp; "⚠️ Disclaimer:")</f>
        <v>§1202 - 🚨 Important: Qualified Small Business Stock (QSBS) Tax Exclusion for your C-Corp startup
How this affects you:
Maximize your exit strategy by leveraging the IRC Section 1202 exclusion. For eligible stock, you can exclude up to 100% of capital gains from your gross income. Based on your \[Stock\_Basis\], your potential \[Exclusion\_Amount\] is capped at the greater of $10M ($15M for post-2025 issuances) or 10 times your initial basis, effectively reducing your federal tax rate on the sale to 0%.
✅ \[Eligibility\_Check\] Verify the entity is a domestic C-Corp and meets active business requirements
✅ \[Eligibility\_Check\] Confirm aggregate gross assets did not exceed $50M ($75M for post-2025 issuances) at issuance
✅ \[Holding\_Period\] Track your \[Holding\_Period\] to ensure it meets the 5-year requirement for a 100% exclusion
📚 Source: IRC Section 1202
💰 Estimated QSBS Exclusion Impact: Your $50,000 basis in qualified small business stock may qualify for 100% capital gains exclusion under §1202. Max exclusion: greater of $10,000,000 or 10x basis (~$500,000) → capped at $500,000. Potential tax savings at 23.8% capital gains rate: ~$119,000. Requirements: C-Corp at issuance, active qualified business, gross assets &lt; $50M, original issuance, 5+ year holding (started June 15, 2021; matures June 15, 2026). 
⚠️ Disclaimer: This template is for informational purposes only. Tax laws are subject to change and individual circumstances vary. Please consult with a qualified tax professional to confirm eligibility and compliance for your specific entity.</v>
      </c>
      <c r="D17" s="4"/>
      <c r="E17" s="4"/>
    </row>
    <row r="18">
      <c r="A18" s="4"/>
      <c r="B18" s="4"/>
      <c r="D18" s="4"/>
      <c r="E18" s="4"/>
    </row>
    <row r="19">
      <c r="A19" s="4"/>
      <c r="B19" s="4"/>
      <c r="D19" s="4"/>
      <c r="E19" s="4"/>
    </row>
    <row r="20">
      <c r="A20" s="4"/>
      <c r="B20" s="4"/>
      <c r="D20" s="4"/>
      <c r="E20" s="4"/>
    </row>
    <row r="21">
      <c r="A21" s="4"/>
      <c r="B21" s="4"/>
      <c r="D21" s="4"/>
      <c r="E21" s="4"/>
    </row>
    <row r="22">
      <c r="A22" s="4"/>
      <c r="B22" s="4"/>
      <c r="D22" s="4"/>
      <c r="E22" s="4"/>
    </row>
    <row r="23">
      <c r="A23" s="4"/>
      <c r="B23" s="4"/>
      <c r="D23" s="4"/>
      <c r="E23" s="4"/>
    </row>
    <row r="24">
      <c r="A24" s="4"/>
      <c r="B24" s="4"/>
      <c r="D24" s="4"/>
      <c r="E24" s="4"/>
    </row>
    <row r="25">
      <c r="A25" s="4"/>
      <c r="B25" s="4"/>
      <c r="D25" s="4"/>
      <c r="E25" s="4"/>
    </row>
    <row r="26">
      <c r="A26" s="4"/>
      <c r="B26" s="4"/>
      <c r="D26" s="4"/>
      <c r="E26" s="4"/>
    </row>
    <row r="27">
      <c r="A27" s="4"/>
      <c r="B27" s="4"/>
      <c r="D27" s="4"/>
      <c r="E27" s="4"/>
    </row>
    <row r="28">
      <c r="A28" s="4"/>
      <c r="B28" s="4"/>
      <c r="D28" s="4"/>
      <c r="E28" s="4"/>
    </row>
    <row r="29">
      <c r="A29" s="4"/>
      <c r="B29" s="4"/>
      <c r="D29" s="4"/>
      <c r="E29" s="4"/>
    </row>
    <row r="30">
      <c r="A30" s="4"/>
      <c r="B30" s="4"/>
      <c r="D30" s="4"/>
      <c r="E30" s="4"/>
    </row>
    <row r="31">
      <c r="A31" s="4"/>
      <c r="B31" s="4"/>
      <c r="D31" s="4"/>
      <c r="E31" s="4"/>
    </row>
    <row r="32">
      <c r="A32" s="4"/>
      <c r="B32" s="4"/>
      <c r="D32" s="4"/>
      <c r="E32" s="4"/>
    </row>
    <row r="33">
      <c r="A33" s="4"/>
      <c r="B33" s="4"/>
      <c r="D33" s="4"/>
      <c r="E33" s="4"/>
    </row>
    <row r="34">
      <c r="A34" s="4"/>
      <c r="B34" s="4"/>
      <c r="D34" s="4"/>
      <c r="E34" s="4"/>
    </row>
    <row r="35">
      <c r="A35" s="4"/>
      <c r="B35" s="4"/>
      <c r="D35" s="4"/>
      <c r="E35" s="4"/>
    </row>
    <row r="36">
      <c r="A36" s="4"/>
      <c r="B36" s="4"/>
      <c r="D36" s="4"/>
      <c r="E36" s="4"/>
    </row>
    <row r="37">
      <c r="A37" s="4"/>
      <c r="B37" s="4"/>
      <c r="D37" s="4"/>
      <c r="E37" s="4"/>
    </row>
    <row r="38">
      <c r="A38" s="4"/>
      <c r="B38" s="4"/>
      <c r="D38" s="4"/>
      <c r="E38" s="4"/>
    </row>
    <row r="39">
      <c r="A39" s="4"/>
      <c r="B39" s="4"/>
      <c r="D39" s="4"/>
      <c r="E39" s="4"/>
    </row>
    <row r="40">
      <c r="A40" s="4"/>
      <c r="B40" s="4"/>
      <c r="D40" s="4"/>
      <c r="E40" s="4"/>
    </row>
    <row r="41">
      <c r="A41" s="4"/>
      <c r="B41" s="4"/>
      <c r="C41" s="4"/>
      <c r="D41" s="4"/>
      <c r="E41" s="4"/>
    </row>
    <row r="42">
      <c r="A42" s="4"/>
      <c r="B42" s="4"/>
      <c r="C42" s="4"/>
      <c r="D42" s="4"/>
      <c r="E42" s="4"/>
    </row>
    <row r="43">
      <c r="A43" s="4"/>
      <c r="B43" s="4"/>
      <c r="C43" s="4"/>
      <c r="D43" s="4"/>
      <c r="E43" s="4"/>
    </row>
    <row r="44">
      <c r="A44" s="4"/>
      <c r="B44" s="4"/>
      <c r="C44" s="4"/>
      <c r="D44" s="4"/>
      <c r="E44" s="4"/>
    </row>
    <row r="45">
      <c r="A45" s="4"/>
      <c r="B45" s="4"/>
      <c r="C45" s="4"/>
      <c r="D45" s="4"/>
      <c r="E45" s="4"/>
    </row>
    <row r="46">
      <c r="A46" s="4"/>
      <c r="B46" s="4"/>
      <c r="C46" s="4"/>
      <c r="D46" s="4"/>
      <c r="E46" s="4"/>
    </row>
    <row r="47">
      <c r="A47" s="4"/>
      <c r="B47" s="4"/>
      <c r="C47" s="4"/>
      <c r="D47" s="4"/>
      <c r="E47" s="4"/>
    </row>
    <row r="48">
      <c r="A48" s="4"/>
      <c r="B48" s="4"/>
      <c r="C48" s="4"/>
      <c r="D48" s="4"/>
      <c r="E48" s="4"/>
    </row>
    <row r="49">
      <c r="A49" s="4"/>
      <c r="B49" s="4"/>
      <c r="C49" s="4"/>
      <c r="D49" s="4"/>
      <c r="E49" s="4"/>
    </row>
    <row r="50">
      <c r="A50" s="4"/>
      <c r="B50" s="4"/>
      <c r="C50" s="4"/>
      <c r="D50" s="4"/>
      <c r="E50" s="4"/>
    </row>
    <row r="51">
      <c r="A51" s="4"/>
      <c r="B51" s="4"/>
      <c r="C51" s="4"/>
      <c r="D51" s="4"/>
      <c r="E51" s="4"/>
    </row>
    <row r="52">
      <c r="A52" s="4"/>
      <c r="B52" s="4"/>
      <c r="C52" s="4"/>
      <c r="D52" s="4"/>
      <c r="E52" s="4"/>
    </row>
    <row r="53">
      <c r="A53" s="4"/>
      <c r="B53" s="4"/>
      <c r="C53" s="4"/>
      <c r="D53" s="4"/>
      <c r="E53" s="4"/>
    </row>
    <row r="54">
      <c r="A54" s="4"/>
      <c r="B54" s="4"/>
      <c r="C54" s="4"/>
      <c r="D54" s="4"/>
      <c r="E54" s="4"/>
    </row>
    <row r="55">
      <c r="A55" s="4"/>
      <c r="B55" s="4"/>
      <c r="C55" s="4"/>
      <c r="D55" s="4"/>
      <c r="E55" s="4"/>
    </row>
    <row r="56">
      <c r="A56" s="4"/>
      <c r="B56" s="4"/>
      <c r="C56" s="4"/>
      <c r="D56" s="4"/>
      <c r="E56" s="4"/>
    </row>
    <row r="57">
      <c r="A57" s="4"/>
      <c r="B57" s="4"/>
      <c r="C57" s="4"/>
      <c r="D57" s="4"/>
      <c r="E57" s="4"/>
    </row>
    <row r="58">
      <c r="A58" s="4"/>
      <c r="B58" s="4"/>
      <c r="C58" s="4"/>
      <c r="D58" s="4"/>
      <c r="E58" s="4"/>
    </row>
    <row r="59">
      <c r="A59" s="4"/>
      <c r="B59" s="4"/>
      <c r="C59" s="4"/>
      <c r="D59" s="4"/>
      <c r="E59" s="4"/>
    </row>
    <row r="60">
      <c r="A60" s="4"/>
      <c r="B60" s="4"/>
      <c r="C60" s="4"/>
      <c r="D60" s="4"/>
      <c r="E60" s="4"/>
    </row>
    <row r="61">
      <c r="A61" s="4"/>
      <c r="B61" s="4"/>
      <c r="C61" s="4"/>
      <c r="D61" s="4"/>
      <c r="E61" s="4"/>
    </row>
    <row r="62">
      <c r="A62" s="4"/>
      <c r="B62" s="4"/>
      <c r="C62" s="4"/>
      <c r="D62" s="4"/>
      <c r="E62" s="4"/>
    </row>
    <row r="63">
      <c r="A63" s="4"/>
      <c r="B63" s="4"/>
      <c r="C63" s="4"/>
      <c r="D63" s="4"/>
      <c r="E63" s="4"/>
    </row>
    <row r="64">
      <c r="A64" s="4"/>
      <c r="B64" s="4"/>
      <c r="C64" s="4"/>
      <c r="D64" s="4"/>
      <c r="E64" s="4"/>
    </row>
    <row r="65">
      <c r="A65" s="4"/>
      <c r="B65" s="4"/>
      <c r="C65" s="4"/>
      <c r="D65" s="4"/>
      <c r="E65" s="4"/>
    </row>
    <row r="66">
      <c r="A66" s="4"/>
      <c r="B66" s="4"/>
      <c r="C66" s="4"/>
      <c r="D66" s="4"/>
      <c r="E66" s="4"/>
    </row>
    <row r="67">
      <c r="A67" s="4"/>
      <c r="B67" s="4"/>
      <c r="C67" s="4"/>
      <c r="D67" s="4"/>
      <c r="E67" s="4"/>
    </row>
    <row r="68">
      <c r="A68" s="4"/>
      <c r="B68" s="4"/>
      <c r="C68" s="4"/>
      <c r="D68" s="4"/>
      <c r="E68" s="4"/>
    </row>
    <row r="69">
      <c r="A69" s="4"/>
      <c r="B69" s="4"/>
      <c r="C69" s="4"/>
      <c r="D69" s="4"/>
      <c r="E69" s="4"/>
    </row>
    <row r="70">
      <c r="A70" s="4"/>
      <c r="B70" s="4"/>
      <c r="C70" s="4"/>
      <c r="D70" s="4"/>
      <c r="E70" s="4"/>
    </row>
    <row r="71">
      <c r="A71" s="4"/>
      <c r="B71" s="4"/>
      <c r="C71" s="4"/>
      <c r="D71" s="4"/>
      <c r="E71" s="4"/>
    </row>
    <row r="72">
      <c r="A72" s="4"/>
      <c r="B72" s="4"/>
      <c r="C72" s="4"/>
      <c r="D72" s="4"/>
      <c r="E72" s="4"/>
    </row>
    <row r="73">
      <c r="A73" s="4"/>
      <c r="B73" s="4"/>
      <c r="C73" s="4"/>
      <c r="D73" s="4"/>
      <c r="E73" s="4"/>
    </row>
    <row r="74">
      <c r="A74" s="4"/>
      <c r="B74" s="4"/>
      <c r="C74" s="4"/>
      <c r="D74" s="4"/>
      <c r="E74" s="4"/>
    </row>
    <row r="75">
      <c r="A75" s="4"/>
      <c r="B75" s="4"/>
      <c r="C75" s="4"/>
      <c r="D75" s="4"/>
      <c r="E75" s="4"/>
    </row>
    <row r="76">
      <c r="A76" s="4"/>
      <c r="B76" s="4"/>
      <c r="C76" s="4"/>
      <c r="D76" s="4"/>
      <c r="E76" s="4"/>
    </row>
    <row r="77">
      <c r="A77" s="4"/>
      <c r="B77" s="4"/>
      <c r="C77" s="4"/>
      <c r="D77" s="4"/>
      <c r="E77" s="4"/>
    </row>
    <row r="78">
      <c r="A78" s="4"/>
      <c r="B78" s="4"/>
      <c r="C78" s="4"/>
      <c r="D78" s="4"/>
      <c r="E78" s="4"/>
    </row>
    <row r="79">
      <c r="A79" s="4"/>
      <c r="B79" s="4"/>
      <c r="C79" s="4"/>
      <c r="D79" s="4"/>
      <c r="E79" s="4"/>
    </row>
    <row r="80">
      <c r="A80" s="4"/>
      <c r="B80" s="4"/>
      <c r="C80" s="4"/>
      <c r="D80" s="4"/>
      <c r="E80" s="4"/>
    </row>
    <row r="81">
      <c r="A81" s="4"/>
      <c r="B81" s="4"/>
      <c r="C81" s="4"/>
      <c r="D81" s="4"/>
      <c r="E81" s="4"/>
    </row>
    <row r="82">
      <c r="A82" s="4"/>
      <c r="B82" s="4"/>
      <c r="C82" s="4"/>
      <c r="D82" s="4"/>
      <c r="E82" s="4"/>
    </row>
    <row r="83">
      <c r="A83" s="4"/>
      <c r="B83" s="4"/>
      <c r="C83" s="4"/>
      <c r="D83" s="4"/>
      <c r="E83" s="4"/>
    </row>
    <row r="84">
      <c r="A84" s="4"/>
      <c r="B84" s="4"/>
      <c r="C84" s="4"/>
      <c r="D84" s="4"/>
      <c r="E84" s="4"/>
    </row>
    <row r="85">
      <c r="A85" s="4"/>
      <c r="B85" s="4"/>
      <c r="C85" s="4"/>
      <c r="D85" s="4"/>
      <c r="E85" s="4"/>
    </row>
    <row r="86">
      <c r="A86" s="4"/>
      <c r="B86" s="4"/>
      <c r="C86" s="4"/>
      <c r="D86" s="4"/>
      <c r="E86" s="4"/>
    </row>
    <row r="87">
      <c r="A87" s="4"/>
      <c r="B87" s="4"/>
      <c r="C87" s="4"/>
      <c r="D87" s="4"/>
      <c r="E87" s="4"/>
    </row>
    <row r="88">
      <c r="A88" s="4"/>
      <c r="B88" s="4"/>
      <c r="C88" s="4"/>
      <c r="D88" s="4"/>
      <c r="E88" s="4"/>
    </row>
    <row r="89">
      <c r="A89" s="4"/>
      <c r="B89" s="4"/>
      <c r="C89" s="4"/>
      <c r="D89" s="4"/>
      <c r="E89" s="4"/>
    </row>
    <row r="90">
      <c r="A90" s="4"/>
      <c r="B90" s="4"/>
      <c r="C90" s="4"/>
      <c r="D90" s="4"/>
      <c r="E90" s="4"/>
    </row>
    <row r="91">
      <c r="A91" s="4"/>
      <c r="B91" s="4"/>
      <c r="C91" s="4"/>
      <c r="D91" s="4"/>
      <c r="E91" s="4"/>
    </row>
    <row r="92">
      <c r="A92" s="4"/>
      <c r="B92" s="4"/>
      <c r="C92" s="4"/>
      <c r="D92" s="4"/>
      <c r="E92" s="4"/>
    </row>
    <row r="93">
      <c r="A93" s="4"/>
      <c r="B93" s="4"/>
      <c r="C93" s="4"/>
      <c r="D93" s="4"/>
      <c r="E93" s="4"/>
    </row>
    <row r="94">
      <c r="A94" s="4"/>
      <c r="B94" s="4"/>
      <c r="C94" s="4"/>
      <c r="D94" s="4"/>
      <c r="E94" s="4"/>
    </row>
    <row r="95">
      <c r="A95" s="4"/>
      <c r="B95" s="4"/>
      <c r="C95" s="4"/>
      <c r="D95" s="4"/>
      <c r="E95" s="4"/>
    </row>
    <row r="96">
      <c r="A96" s="4"/>
      <c r="B96" s="4"/>
      <c r="C96" s="4"/>
      <c r="D96" s="4"/>
      <c r="E96" s="4"/>
    </row>
    <row r="97">
      <c r="A97" s="4"/>
      <c r="B97" s="4"/>
      <c r="C97" s="4"/>
      <c r="D97" s="4"/>
      <c r="E97" s="4"/>
    </row>
    <row r="98">
      <c r="A98" s="4"/>
      <c r="B98" s="4"/>
      <c r="C98" s="4"/>
      <c r="D98" s="4"/>
      <c r="E98" s="4"/>
    </row>
    <row r="99">
      <c r="A99" s="4"/>
      <c r="B99" s="4"/>
      <c r="C99" s="4"/>
      <c r="D99" s="4"/>
      <c r="E99" s="4"/>
    </row>
    <row r="100">
      <c r="A100" s="4"/>
      <c r="B100" s="4"/>
      <c r="C100" s="4"/>
      <c r="D100" s="4"/>
      <c r="E100" s="4"/>
    </row>
    <row r="101">
      <c r="A101" s="4"/>
      <c r="B101" s="4"/>
      <c r="C101" s="4"/>
      <c r="D101" s="4"/>
      <c r="E101" s="4"/>
    </row>
    <row r="102">
      <c r="A102" s="4"/>
      <c r="B102" s="4"/>
      <c r="C102" s="4"/>
      <c r="D102" s="4"/>
      <c r="E102" s="4"/>
    </row>
    <row r="103">
      <c r="A103" s="4"/>
      <c r="B103" s="4"/>
      <c r="C103" s="4"/>
      <c r="D103" s="4"/>
      <c r="E103" s="4"/>
    </row>
    <row r="104">
      <c r="A104" s="4"/>
      <c r="B104" s="4"/>
      <c r="C104" s="4"/>
      <c r="D104" s="4"/>
      <c r="E104" s="4"/>
    </row>
    <row r="105">
      <c r="A105" s="4"/>
      <c r="B105" s="4"/>
      <c r="C105" s="4"/>
      <c r="D105" s="4"/>
      <c r="E105" s="4"/>
    </row>
    <row r="106">
      <c r="A106" s="4"/>
      <c r="B106" s="4"/>
      <c r="C106" s="4"/>
      <c r="D106" s="4"/>
      <c r="E106" s="4"/>
    </row>
    <row r="107">
      <c r="A107" s="4"/>
      <c r="B107" s="4"/>
      <c r="C107" s="4"/>
      <c r="D107" s="4"/>
      <c r="E107" s="4"/>
    </row>
    <row r="108">
      <c r="A108" s="4"/>
      <c r="B108" s="4"/>
      <c r="C108" s="4"/>
      <c r="D108" s="4"/>
      <c r="E108" s="4"/>
    </row>
    <row r="109">
      <c r="A109" s="4"/>
      <c r="B109" s="4"/>
      <c r="C109" s="4"/>
      <c r="D109" s="4"/>
      <c r="E109" s="4"/>
    </row>
    <row r="110">
      <c r="A110" s="4"/>
      <c r="B110" s="4"/>
      <c r="C110" s="4"/>
      <c r="D110" s="4"/>
      <c r="E110" s="4"/>
    </row>
    <row r="111">
      <c r="A111" s="4"/>
      <c r="B111" s="4"/>
      <c r="C111" s="4"/>
      <c r="D111" s="4"/>
      <c r="E111" s="4"/>
    </row>
    <row r="112">
      <c r="A112" s="4"/>
      <c r="B112" s="4"/>
      <c r="C112" s="4"/>
      <c r="D112" s="4"/>
      <c r="E112" s="4"/>
    </row>
    <row r="113">
      <c r="A113" s="4"/>
      <c r="B113" s="4"/>
      <c r="C113" s="4"/>
      <c r="D113" s="4"/>
      <c r="E113" s="4"/>
    </row>
    <row r="114">
      <c r="A114" s="4"/>
      <c r="B114" s="4"/>
      <c r="C114" s="4"/>
      <c r="D114" s="4"/>
      <c r="E114" s="4"/>
    </row>
    <row r="115">
      <c r="A115" s="4"/>
      <c r="B115" s="4"/>
      <c r="C115" s="4"/>
      <c r="D115" s="4"/>
      <c r="E115" s="4"/>
    </row>
    <row r="116">
      <c r="A116" s="4"/>
      <c r="B116" s="4"/>
      <c r="C116" s="4"/>
      <c r="D116" s="4"/>
      <c r="E116" s="4"/>
    </row>
    <row r="117">
      <c r="A117" s="4"/>
      <c r="B117" s="4"/>
      <c r="C117" s="4"/>
      <c r="D117" s="4"/>
      <c r="E117" s="4"/>
    </row>
    <row r="118">
      <c r="A118" s="4"/>
      <c r="B118" s="4"/>
      <c r="C118" s="4"/>
      <c r="D118" s="4"/>
      <c r="E118" s="4"/>
    </row>
    <row r="119">
      <c r="A119" s="4"/>
      <c r="B119" s="4"/>
      <c r="C119" s="4"/>
      <c r="D119" s="4"/>
      <c r="E119" s="4"/>
    </row>
    <row r="120">
      <c r="A120" s="4"/>
      <c r="B120" s="4"/>
      <c r="C120" s="4"/>
      <c r="D120" s="4"/>
      <c r="E120" s="4"/>
    </row>
    <row r="121">
      <c r="A121" s="4"/>
      <c r="B121" s="4"/>
      <c r="C121" s="4"/>
      <c r="D121" s="4"/>
      <c r="E121" s="4"/>
    </row>
    <row r="122">
      <c r="A122" s="4"/>
      <c r="B122" s="4"/>
      <c r="C122" s="4"/>
      <c r="D122" s="4"/>
      <c r="E122" s="4"/>
    </row>
    <row r="123">
      <c r="A123" s="4"/>
      <c r="B123" s="4"/>
      <c r="C123" s="4"/>
      <c r="D123" s="4"/>
      <c r="E123" s="4"/>
    </row>
    <row r="124">
      <c r="A124" s="4"/>
      <c r="B124" s="4"/>
      <c r="C124" s="4"/>
      <c r="D124" s="4"/>
      <c r="E124" s="4"/>
    </row>
    <row r="125">
      <c r="A125" s="4"/>
      <c r="B125" s="4"/>
      <c r="C125" s="4"/>
      <c r="D125" s="4"/>
      <c r="E125" s="4"/>
    </row>
    <row r="126">
      <c r="A126" s="4"/>
      <c r="B126" s="4"/>
      <c r="C126" s="4"/>
      <c r="D126" s="4"/>
      <c r="E126" s="4"/>
    </row>
    <row r="127">
      <c r="A127" s="4"/>
      <c r="B127" s="4"/>
      <c r="C127" s="4"/>
      <c r="D127" s="4"/>
      <c r="E127" s="4"/>
    </row>
    <row r="128">
      <c r="A128" s="4"/>
      <c r="B128" s="4"/>
      <c r="C128" s="4"/>
      <c r="D128" s="4"/>
      <c r="E128" s="4"/>
    </row>
    <row r="129">
      <c r="A129" s="4"/>
      <c r="B129" s="4"/>
      <c r="C129" s="4"/>
      <c r="D129" s="4"/>
      <c r="E129" s="4"/>
    </row>
    <row r="130">
      <c r="A130" s="4"/>
      <c r="B130" s="4"/>
      <c r="C130" s="4"/>
      <c r="D130" s="4"/>
      <c r="E130" s="4"/>
    </row>
    <row r="131">
      <c r="A131" s="4"/>
      <c r="B131" s="4"/>
      <c r="C131" s="4"/>
      <c r="D131" s="4"/>
      <c r="E131" s="4"/>
    </row>
    <row r="132">
      <c r="A132" s="4"/>
      <c r="B132" s="4"/>
      <c r="C132" s="4"/>
      <c r="D132" s="4"/>
      <c r="E132" s="4"/>
    </row>
    <row r="133">
      <c r="A133" s="4"/>
      <c r="B133" s="4"/>
      <c r="C133" s="4"/>
      <c r="D133" s="4"/>
      <c r="E133" s="4"/>
    </row>
    <row r="134">
      <c r="A134" s="4"/>
      <c r="B134" s="4"/>
      <c r="C134" s="4"/>
      <c r="D134" s="4"/>
      <c r="E134" s="4"/>
    </row>
    <row r="135">
      <c r="A135" s="4"/>
      <c r="B135" s="4"/>
      <c r="C135" s="4"/>
      <c r="D135" s="4"/>
      <c r="E135" s="4"/>
    </row>
    <row r="136">
      <c r="A136" s="4"/>
      <c r="B136" s="4"/>
      <c r="C136" s="4"/>
      <c r="D136" s="4"/>
      <c r="E136" s="4"/>
    </row>
    <row r="137">
      <c r="A137" s="4"/>
      <c r="B137" s="4"/>
      <c r="C137" s="4"/>
      <c r="D137" s="4"/>
      <c r="E137" s="4"/>
    </row>
    <row r="138">
      <c r="A138" s="4"/>
      <c r="B138" s="4"/>
      <c r="C138" s="4"/>
      <c r="D138" s="4"/>
      <c r="E138" s="4"/>
    </row>
    <row r="139">
      <c r="A139" s="4"/>
      <c r="B139" s="4"/>
      <c r="C139" s="4"/>
      <c r="D139" s="4"/>
      <c r="E139" s="4"/>
    </row>
    <row r="140">
      <c r="A140" s="4"/>
      <c r="B140" s="4"/>
      <c r="C140" s="4"/>
      <c r="D140" s="4"/>
      <c r="E140" s="4"/>
    </row>
    <row r="141">
      <c r="A141" s="4"/>
      <c r="B141" s="4"/>
      <c r="C141" s="4"/>
      <c r="D141" s="4"/>
      <c r="E141" s="4"/>
    </row>
    <row r="142">
      <c r="A142" s="4"/>
      <c r="B142" s="4"/>
      <c r="C142" s="4"/>
      <c r="D142" s="4"/>
      <c r="E142" s="4"/>
    </row>
    <row r="143">
      <c r="A143" s="4"/>
      <c r="B143" s="4"/>
      <c r="C143" s="4"/>
      <c r="D143" s="4"/>
      <c r="E143" s="4"/>
    </row>
    <row r="144">
      <c r="A144" s="4"/>
      <c r="B144" s="4"/>
      <c r="C144" s="4"/>
      <c r="D144" s="4"/>
      <c r="E144" s="4"/>
    </row>
    <row r="145">
      <c r="A145" s="4"/>
      <c r="B145" s="4"/>
      <c r="C145" s="4"/>
      <c r="D145" s="4"/>
      <c r="E145" s="4"/>
    </row>
    <row r="146">
      <c r="A146" s="4"/>
      <c r="B146" s="4"/>
      <c r="C146" s="4"/>
      <c r="D146" s="4"/>
      <c r="E146" s="4"/>
    </row>
    <row r="147">
      <c r="A147" s="4"/>
      <c r="B147" s="4"/>
      <c r="C147" s="4"/>
      <c r="D147" s="4"/>
      <c r="E147" s="4"/>
    </row>
    <row r="148">
      <c r="A148" s="4"/>
      <c r="B148" s="4"/>
      <c r="C148" s="4"/>
      <c r="D148" s="4"/>
      <c r="E148" s="4"/>
    </row>
    <row r="149">
      <c r="A149" s="4"/>
      <c r="B149" s="4"/>
      <c r="C149" s="4"/>
      <c r="D149" s="4"/>
      <c r="E149" s="4"/>
    </row>
    <row r="150">
      <c r="A150" s="4"/>
      <c r="B150" s="4"/>
      <c r="C150" s="4"/>
      <c r="D150" s="4"/>
      <c r="E150" s="4"/>
    </row>
    <row r="151">
      <c r="A151" s="4"/>
      <c r="B151" s="4"/>
      <c r="C151" s="4"/>
      <c r="D151" s="4"/>
      <c r="E151" s="4"/>
    </row>
    <row r="152">
      <c r="A152" s="4"/>
      <c r="B152" s="4"/>
      <c r="C152" s="4"/>
      <c r="D152" s="4"/>
      <c r="E152" s="4"/>
    </row>
    <row r="153">
      <c r="A153" s="4"/>
      <c r="B153" s="4"/>
      <c r="C153" s="4"/>
      <c r="D153" s="4"/>
      <c r="E153" s="4"/>
    </row>
    <row r="154">
      <c r="A154" s="4"/>
      <c r="B154" s="4"/>
      <c r="C154" s="4"/>
      <c r="D154" s="4"/>
      <c r="E154" s="4"/>
    </row>
    <row r="155">
      <c r="A155" s="4"/>
      <c r="B155" s="4"/>
      <c r="C155" s="4"/>
      <c r="D155" s="4"/>
      <c r="E155" s="4"/>
    </row>
    <row r="156">
      <c r="A156" s="4"/>
      <c r="B156" s="4"/>
      <c r="C156" s="4"/>
      <c r="D156" s="4"/>
      <c r="E156" s="4"/>
    </row>
    <row r="157">
      <c r="A157" s="4"/>
      <c r="B157" s="4"/>
      <c r="C157" s="4"/>
      <c r="D157" s="4"/>
      <c r="E157" s="4"/>
    </row>
    <row r="158">
      <c r="A158" s="4"/>
      <c r="B158" s="4"/>
      <c r="C158" s="4"/>
      <c r="D158" s="4"/>
      <c r="E158" s="4"/>
    </row>
    <row r="159">
      <c r="A159" s="4"/>
      <c r="B159" s="4"/>
      <c r="C159" s="4"/>
      <c r="D159" s="4"/>
      <c r="E159" s="4"/>
    </row>
    <row r="160">
      <c r="A160" s="4"/>
      <c r="B160" s="4"/>
      <c r="C160" s="4"/>
      <c r="D160" s="4"/>
      <c r="E160" s="4"/>
    </row>
    <row r="161">
      <c r="A161" s="4"/>
      <c r="B161" s="4"/>
      <c r="C161" s="4"/>
      <c r="D161" s="4"/>
      <c r="E161" s="4"/>
    </row>
    <row r="162">
      <c r="A162" s="4"/>
      <c r="B162" s="4"/>
      <c r="C162" s="4"/>
      <c r="D162" s="4"/>
      <c r="E162" s="4"/>
    </row>
    <row r="163">
      <c r="A163" s="4"/>
      <c r="B163" s="4"/>
      <c r="C163" s="4"/>
      <c r="D163" s="4"/>
      <c r="E163" s="4"/>
    </row>
    <row r="164">
      <c r="A164" s="4"/>
      <c r="B164" s="4"/>
      <c r="C164" s="4"/>
      <c r="D164" s="4"/>
      <c r="E164" s="4"/>
    </row>
    <row r="165">
      <c r="A165" s="4"/>
      <c r="B165" s="4"/>
      <c r="C165" s="4"/>
      <c r="D165" s="4"/>
      <c r="E165" s="4"/>
    </row>
    <row r="166">
      <c r="A166" s="4"/>
      <c r="B166" s="4"/>
      <c r="C166" s="4"/>
      <c r="D166" s="4"/>
      <c r="E166" s="4"/>
    </row>
    <row r="167">
      <c r="A167" s="4"/>
      <c r="B167" s="4"/>
      <c r="C167" s="4"/>
      <c r="D167" s="4"/>
      <c r="E167" s="4"/>
    </row>
    <row r="168">
      <c r="A168" s="4"/>
      <c r="B168" s="4"/>
      <c r="C168" s="4"/>
      <c r="D168" s="4"/>
      <c r="E168" s="4"/>
    </row>
    <row r="169">
      <c r="A169" s="4"/>
      <c r="B169" s="4"/>
      <c r="C169" s="4"/>
      <c r="D169" s="4"/>
      <c r="E169" s="4"/>
    </row>
    <row r="170">
      <c r="A170" s="4"/>
      <c r="B170" s="4"/>
      <c r="C170" s="4"/>
      <c r="D170" s="4"/>
      <c r="E170" s="4"/>
    </row>
    <row r="171">
      <c r="A171" s="4"/>
      <c r="B171" s="4"/>
      <c r="C171" s="4"/>
      <c r="D171" s="4"/>
      <c r="E171" s="4"/>
    </row>
    <row r="172">
      <c r="A172" s="4"/>
      <c r="B172" s="4"/>
      <c r="C172" s="4"/>
      <c r="D172" s="4"/>
      <c r="E172" s="4"/>
    </row>
    <row r="173">
      <c r="A173" s="4"/>
      <c r="B173" s="4"/>
      <c r="C173" s="4"/>
      <c r="D173" s="4"/>
      <c r="E173" s="4"/>
    </row>
    <row r="174">
      <c r="A174" s="4"/>
      <c r="B174" s="4"/>
      <c r="C174" s="4"/>
      <c r="D174" s="4"/>
      <c r="E174" s="4"/>
    </row>
    <row r="175">
      <c r="A175" s="4"/>
      <c r="B175" s="4"/>
      <c r="C175" s="4"/>
      <c r="D175" s="4"/>
      <c r="E175" s="4"/>
    </row>
    <row r="176">
      <c r="A176" s="4"/>
      <c r="B176" s="4"/>
      <c r="C176" s="4"/>
      <c r="D176" s="4"/>
      <c r="E176" s="4"/>
    </row>
    <row r="177">
      <c r="A177" s="4"/>
      <c r="B177" s="4"/>
      <c r="C177" s="4"/>
      <c r="D177" s="4"/>
      <c r="E177" s="4"/>
    </row>
    <row r="178">
      <c r="A178" s="4"/>
      <c r="B178" s="4"/>
      <c r="C178" s="4"/>
      <c r="D178" s="4"/>
      <c r="E178" s="4"/>
    </row>
    <row r="179">
      <c r="A179" s="4"/>
      <c r="B179" s="4"/>
      <c r="C179" s="4"/>
      <c r="D179" s="4"/>
      <c r="E179" s="4"/>
    </row>
    <row r="180">
      <c r="A180" s="4"/>
      <c r="B180" s="4"/>
      <c r="C180" s="4"/>
      <c r="D180" s="4"/>
      <c r="E180" s="4"/>
    </row>
    <row r="181">
      <c r="A181" s="4"/>
      <c r="B181" s="4"/>
      <c r="C181" s="4"/>
      <c r="D181" s="4"/>
      <c r="E181" s="4"/>
    </row>
    <row r="182">
      <c r="A182" s="4"/>
      <c r="B182" s="4"/>
      <c r="C182" s="4"/>
      <c r="D182" s="4"/>
      <c r="E182" s="4"/>
    </row>
    <row r="183">
      <c r="A183" s="4"/>
      <c r="B183" s="4"/>
      <c r="C183" s="4"/>
      <c r="D183" s="4"/>
      <c r="E183" s="4"/>
    </row>
    <row r="184">
      <c r="A184" s="4"/>
      <c r="B184" s="4"/>
      <c r="C184" s="4"/>
      <c r="D184" s="4"/>
      <c r="E184" s="4"/>
    </row>
    <row r="185">
      <c r="A185" s="4"/>
      <c r="B185" s="4"/>
      <c r="C185" s="4"/>
      <c r="D185" s="4"/>
      <c r="E185" s="4"/>
    </row>
    <row r="186">
      <c r="A186" s="4"/>
      <c r="B186" s="4"/>
      <c r="C186" s="4"/>
      <c r="D186" s="4"/>
      <c r="E186" s="4"/>
    </row>
    <row r="187">
      <c r="A187" s="4"/>
      <c r="B187" s="4"/>
      <c r="C187" s="4"/>
      <c r="D187" s="4"/>
      <c r="E187" s="4"/>
    </row>
    <row r="188">
      <c r="A188" s="4"/>
      <c r="B188" s="4"/>
      <c r="C188" s="4"/>
      <c r="D188" s="4"/>
      <c r="E188" s="4"/>
    </row>
    <row r="189">
      <c r="A189" s="4"/>
      <c r="B189" s="4"/>
      <c r="C189" s="4"/>
      <c r="D189" s="4"/>
      <c r="E189" s="4"/>
    </row>
    <row r="190">
      <c r="A190" s="4"/>
      <c r="B190" s="4"/>
      <c r="C190" s="4"/>
      <c r="D190" s="4"/>
      <c r="E190" s="4"/>
    </row>
    <row r="191">
      <c r="A191" s="4"/>
      <c r="B191" s="4"/>
      <c r="C191" s="4"/>
      <c r="D191" s="4"/>
      <c r="E191" s="4"/>
    </row>
    <row r="192">
      <c r="A192" s="4"/>
      <c r="B192" s="4"/>
      <c r="C192" s="4"/>
      <c r="D192" s="4"/>
      <c r="E192" s="4"/>
    </row>
    <row r="193">
      <c r="A193" s="4"/>
      <c r="B193" s="4"/>
      <c r="C193" s="4"/>
      <c r="D193" s="4"/>
      <c r="E193" s="4"/>
    </row>
    <row r="194">
      <c r="A194" s="4"/>
      <c r="B194" s="4"/>
      <c r="C194" s="4"/>
      <c r="D194" s="4"/>
      <c r="E194" s="4"/>
    </row>
    <row r="195">
      <c r="A195" s="4"/>
      <c r="B195" s="4"/>
      <c r="C195" s="4"/>
      <c r="D195" s="4"/>
      <c r="E195" s="4"/>
    </row>
    <row r="196">
      <c r="A196" s="4"/>
      <c r="B196" s="4"/>
      <c r="C196" s="4"/>
      <c r="D196" s="4"/>
      <c r="E196" s="4"/>
    </row>
    <row r="197">
      <c r="A197" s="4"/>
      <c r="B197" s="4"/>
      <c r="C197" s="4"/>
      <c r="D197" s="4"/>
      <c r="E197" s="4"/>
    </row>
    <row r="198">
      <c r="A198" s="4"/>
      <c r="B198" s="4"/>
      <c r="C198" s="4"/>
      <c r="D198" s="4"/>
      <c r="E198" s="4"/>
    </row>
    <row r="199">
      <c r="A199" s="4"/>
      <c r="B199" s="4"/>
      <c r="C199" s="4"/>
      <c r="D199" s="4"/>
      <c r="E199" s="4"/>
    </row>
    <row r="200">
      <c r="A200" s="4"/>
      <c r="B200" s="4"/>
      <c r="C200" s="4"/>
      <c r="D200" s="4"/>
      <c r="E200" s="4"/>
    </row>
    <row r="201">
      <c r="A201" s="4"/>
      <c r="B201" s="4"/>
      <c r="C201" s="4"/>
      <c r="D201" s="4"/>
      <c r="E201" s="4"/>
    </row>
    <row r="202">
      <c r="A202" s="4"/>
      <c r="B202" s="4"/>
      <c r="C202" s="4"/>
      <c r="D202" s="4"/>
      <c r="E202" s="4"/>
    </row>
    <row r="203">
      <c r="A203" s="4"/>
      <c r="B203" s="4"/>
      <c r="C203" s="4"/>
      <c r="D203" s="4"/>
      <c r="E203" s="4"/>
    </row>
    <row r="204">
      <c r="A204" s="4"/>
      <c r="B204" s="4"/>
      <c r="C204" s="4"/>
      <c r="D204" s="4"/>
      <c r="E204" s="4"/>
    </row>
    <row r="205">
      <c r="A205" s="4"/>
      <c r="B205" s="4"/>
      <c r="C205" s="4"/>
      <c r="D205" s="4"/>
      <c r="E205" s="4"/>
    </row>
    <row r="206">
      <c r="A206" s="4"/>
      <c r="B206" s="4"/>
      <c r="C206" s="4"/>
      <c r="D206" s="4"/>
      <c r="E206" s="4"/>
    </row>
    <row r="207">
      <c r="A207" s="4"/>
      <c r="B207" s="4"/>
      <c r="C207" s="4"/>
      <c r="D207" s="4"/>
      <c r="E207" s="4"/>
    </row>
    <row r="208">
      <c r="A208" s="4"/>
      <c r="B208" s="4"/>
      <c r="C208" s="4"/>
      <c r="D208" s="4"/>
      <c r="E208" s="4"/>
    </row>
    <row r="209">
      <c r="A209" s="4"/>
      <c r="B209" s="4"/>
      <c r="C209" s="4"/>
      <c r="D209" s="4"/>
      <c r="E209" s="4"/>
    </row>
    <row r="210">
      <c r="A210" s="4"/>
      <c r="B210" s="4"/>
      <c r="C210" s="4"/>
      <c r="D210" s="4"/>
      <c r="E210" s="4"/>
    </row>
    <row r="211">
      <c r="A211" s="4"/>
      <c r="B211" s="4"/>
      <c r="C211" s="4"/>
      <c r="D211" s="4"/>
      <c r="E211" s="4"/>
    </row>
    <row r="212">
      <c r="A212" s="4"/>
      <c r="B212" s="4"/>
      <c r="C212" s="4"/>
      <c r="D212" s="4"/>
      <c r="E212" s="4"/>
    </row>
    <row r="213">
      <c r="A213" s="4"/>
      <c r="B213" s="4"/>
      <c r="C213" s="4"/>
      <c r="D213" s="4"/>
      <c r="E213" s="4"/>
    </row>
    <row r="214">
      <c r="A214" s="4"/>
      <c r="B214" s="4"/>
      <c r="C214" s="4"/>
      <c r="D214" s="4"/>
      <c r="E214" s="4"/>
    </row>
    <row r="215">
      <c r="A215" s="4"/>
      <c r="B215" s="4"/>
      <c r="C215" s="4"/>
      <c r="D215" s="4"/>
      <c r="E215" s="4"/>
    </row>
    <row r="216">
      <c r="A216" s="4"/>
      <c r="B216" s="4"/>
      <c r="C216" s="4"/>
      <c r="D216" s="4"/>
      <c r="E216" s="4"/>
    </row>
    <row r="217">
      <c r="A217" s="4"/>
      <c r="B217" s="4"/>
      <c r="C217" s="4"/>
      <c r="D217" s="4"/>
      <c r="E217" s="4"/>
    </row>
    <row r="218">
      <c r="A218" s="4"/>
      <c r="B218" s="4"/>
      <c r="C218" s="4"/>
      <c r="D218" s="4"/>
      <c r="E218" s="4"/>
    </row>
    <row r="219">
      <c r="A219" s="4"/>
      <c r="B219" s="4"/>
      <c r="C219" s="4"/>
      <c r="D219" s="4"/>
      <c r="E219" s="4"/>
    </row>
    <row r="220">
      <c r="A220" s="4"/>
      <c r="B220" s="4"/>
      <c r="C220" s="4"/>
      <c r="D220" s="4"/>
      <c r="E220" s="4"/>
    </row>
    <row r="221">
      <c r="A221" s="4"/>
      <c r="B221" s="4"/>
      <c r="C221" s="4"/>
      <c r="D221" s="4"/>
      <c r="E221" s="4"/>
    </row>
    <row r="222">
      <c r="A222" s="4"/>
      <c r="B222" s="4"/>
      <c r="C222" s="4"/>
      <c r="D222" s="4"/>
      <c r="E222" s="4"/>
    </row>
    <row r="223">
      <c r="A223" s="4"/>
      <c r="B223" s="4"/>
      <c r="C223" s="4"/>
      <c r="D223" s="4"/>
      <c r="E223" s="4"/>
    </row>
    <row r="224">
      <c r="A224" s="4"/>
      <c r="B224" s="4"/>
      <c r="C224" s="4"/>
      <c r="D224" s="4"/>
      <c r="E224" s="4"/>
    </row>
    <row r="225">
      <c r="A225" s="4"/>
      <c r="B225" s="4"/>
      <c r="C225" s="4"/>
      <c r="D225" s="4"/>
      <c r="E225" s="4"/>
    </row>
    <row r="226">
      <c r="A226" s="4"/>
      <c r="B226" s="4"/>
      <c r="C226" s="4"/>
      <c r="D226" s="4"/>
      <c r="E226" s="4"/>
    </row>
    <row r="227">
      <c r="A227" s="4"/>
      <c r="B227" s="4"/>
      <c r="C227" s="4"/>
      <c r="D227" s="4"/>
      <c r="E227" s="4"/>
    </row>
    <row r="228">
      <c r="A228" s="4"/>
      <c r="B228" s="4"/>
      <c r="C228" s="4"/>
      <c r="D228" s="4"/>
      <c r="E228" s="4"/>
    </row>
    <row r="229">
      <c r="A229" s="4"/>
      <c r="B229" s="4"/>
      <c r="C229" s="4"/>
      <c r="D229" s="4"/>
      <c r="E229" s="4"/>
    </row>
    <row r="230">
      <c r="A230" s="4"/>
      <c r="B230" s="4"/>
      <c r="C230" s="4"/>
      <c r="D230" s="4"/>
      <c r="E230" s="4"/>
    </row>
    <row r="231">
      <c r="A231" s="4"/>
      <c r="B231" s="4"/>
      <c r="C231" s="4"/>
      <c r="D231" s="4"/>
      <c r="E231" s="4"/>
    </row>
    <row r="232">
      <c r="A232" s="4"/>
      <c r="B232" s="4"/>
      <c r="C232" s="4"/>
      <c r="D232" s="4"/>
      <c r="E232" s="4"/>
    </row>
    <row r="233">
      <c r="A233" s="4"/>
      <c r="B233" s="4"/>
      <c r="C233" s="4"/>
      <c r="D233" s="4"/>
      <c r="E233" s="4"/>
    </row>
    <row r="234">
      <c r="A234" s="4"/>
      <c r="B234" s="4"/>
      <c r="C234" s="4"/>
      <c r="D234" s="4"/>
      <c r="E234" s="4"/>
    </row>
    <row r="235">
      <c r="A235" s="4"/>
      <c r="B235" s="4"/>
      <c r="C235" s="4"/>
      <c r="D235" s="4"/>
      <c r="E235" s="4"/>
    </row>
    <row r="236">
      <c r="A236" s="4"/>
      <c r="B236" s="4"/>
      <c r="C236" s="4"/>
      <c r="D236" s="4"/>
      <c r="E236" s="4"/>
    </row>
    <row r="237">
      <c r="A237" s="4"/>
      <c r="B237" s="4"/>
      <c r="C237" s="4"/>
      <c r="D237" s="4"/>
      <c r="E237" s="4"/>
    </row>
    <row r="238">
      <c r="A238" s="4"/>
      <c r="B238" s="4"/>
      <c r="C238" s="4"/>
      <c r="D238" s="4"/>
      <c r="E238" s="4"/>
    </row>
    <row r="239">
      <c r="A239" s="4"/>
      <c r="B239" s="4"/>
      <c r="C239" s="4"/>
      <c r="D239" s="4"/>
      <c r="E239" s="4"/>
    </row>
    <row r="240">
      <c r="A240" s="4"/>
      <c r="B240" s="4"/>
      <c r="C240" s="4"/>
      <c r="D240" s="4"/>
      <c r="E240" s="4"/>
    </row>
    <row r="241">
      <c r="A241" s="4"/>
      <c r="B241" s="4"/>
      <c r="C241" s="4"/>
      <c r="D241" s="4"/>
      <c r="E241" s="4"/>
    </row>
    <row r="242">
      <c r="A242" s="4"/>
      <c r="B242" s="4"/>
      <c r="C242" s="4"/>
      <c r="D242" s="4"/>
      <c r="E242" s="4"/>
    </row>
    <row r="243">
      <c r="A243" s="4"/>
      <c r="B243" s="4"/>
      <c r="C243" s="4"/>
      <c r="D243" s="4"/>
      <c r="E243" s="4"/>
    </row>
    <row r="244">
      <c r="A244" s="4"/>
      <c r="B244" s="4"/>
      <c r="C244" s="4"/>
      <c r="D244" s="4"/>
      <c r="E244" s="4"/>
    </row>
    <row r="245">
      <c r="A245" s="4"/>
      <c r="B245" s="4"/>
      <c r="C245" s="4"/>
      <c r="D245" s="4"/>
      <c r="E245" s="4"/>
    </row>
    <row r="246">
      <c r="A246" s="4"/>
      <c r="B246" s="4"/>
      <c r="C246" s="4"/>
      <c r="D246" s="4"/>
      <c r="E246" s="4"/>
    </row>
    <row r="247">
      <c r="A247" s="4"/>
      <c r="B247" s="4"/>
      <c r="C247" s="4"/>
      <c r="D247" s="4"/>
      <c r="E247" s="4"/>
    </row>
    <row r="248">
      <c r="A248" s="4"/>
      <c r="B248" s="4"/>
      <c r="C248" s="4"/>
      <c r="D248" s="4"/>
      <c r="E248" s="4"/>
    </row>
    <row r="249">
      <c r="A249" s="4"/>
      <c r="B249" s="4"/>
      <c r="C249" s="4"/>
      <c r="D249" s="4"/>
      <c r="E249" s="4"/>
    </row>
    <row r="250">
      <c r="A250" s="4"/>
      <c r="B250" s="4"/>
      <c r="C250" s="4"/>
      <c r="D250" s="4"/>
      <c r="E250" s="4"/>
    </row>
    <row r="251">
      <c r="A251" s="4"/>
      <c r="B251" s="4"/>
      <c r="C251" s="4"/>
      <c r="D251" s="4"/>
      <c r="E251" s="4"/>
    </row>
    <row r="252">
      <c r="A252" s="4"/>
      <c r="B252" s="4"/>
      <c r="C252" s="4"/>
      <c r="D252" s="4"/>
      <c r="E252" s="4"/>
    </row>
    <row r="253">
      <c r="A253" s="4"/>
      <c r="B253" s="4"/>
      <c r="C253" s="4"/>
      <c r="D253" s="4"/>
      <c r="E253" s="4"/>
    </row>
    <row r="254">
      <c r="A254" s="4"/>
      <c r="B254" s="4"/>
      <c r="C254" s="4"/>
      <c r="D254" s="4"/>
      <c r="E254" s="4"/>
    </row>
    <row r="255">
      <c r="A255" s="4"/>
      <c r="B255" s="4"/>
      <c r="C255" s="4"/>
      <c r="D255" s="4"/>
      <c r="E255" s="4"/>
    </row>
    <row r="256">
      <c r="A256" s="4"/>
      <c r="B256" s="4"/>
      <c r="C256" s="4"/>
      <c r="D256" s="4"/>
      <c r="E256" s="4"/>
    </row>
    <row r="257">
      <c r="A257" s="4"/>
      <c r="B257" s="4"/>
      <c r="C257" s="4"/>
      <c r="D257" s="4"/>
      <c r="E257" s="4"/>
    </row>
    <row r="258">
      <c r="A258" s="4"/>
      <c r="B258" s="4"/>
      <c r="C258" s="4"/>
      <c r="D258" s="4"/>
      <c r="E258" s="4"/>
    </row>
    <row r="259">
      <c r="A259" s="4"/>
      <c r="B259" s="4"/>
      <c r="C259" s="4"/>
      <c r="D259" s="4"/>
      <c r="E259" s="4"/>
    </row>
    <row r="260">
      <c r="A260" s="4"/>
      <c r="B260" s="4"/>
      <c r="C260" s="4"/>
      <c r="D260" s="4"/>
      <c r="E260" s="4"/>
    </row>
    <row r="261">
      <c r="A261" s="4"/>
      <c r="B261" s="4"/>
      <c r="C261" s="4"/>
      <c r="D261" s="4"/>
      <c r="E261" s="4"/>
    </row>
    <row r="262">
      <c r="A262" s="4"/>
      <c r="B262" s="4"/>
      <c r="C262" s="4"/>
      <c r="D262" s="4"/>
      <c r="E262" s="4"/>
    </row>
    <row r="263">
      <c r="A263" s="4"/>
      <c r="B263" s="4"/>
      <c r="C263" s="4"/>
      <c r="D263" s="4"/>
      <c r="E263" s="4"/>
    </row>
    <row r="264">
      <c r="A264" s="4"/>
      <c r="B264" s="4"/>
      <c r="C264" s="4"/>
      <c r="D264" s="4"/>
      <c r="E264" s="4"/>
    </row>
    <row r="265">
      <c r="A265" s="4"/>
      <c r="B265" s="4"/>
      <c r="C265" s="4"/>
      <c r="D265" s="4"/>
      <c r="E265" s="4"/>
    </row>
    <row r="266">
      <c r="A266" s="4"/>
      <c r="B266" s="4"/>
      <c r="C266" s="4"/>
      <c r="D266" s="4"/>
      <c r="E266" s="4"/>
    </row>
    <row r="267">
      <c r="A267" s="4"/>
      <c r="B267" s="4"/>
      <c r="C267" s="4"/>
      <c r="D267" s="4"/>
      <c r="E267" s="4"/>
    </row>
    <row r="268">
      <c r="A268" s="4"/>
      <c r="B268" s="4"/>
      <c r="C268" s="4"/>
      <c r="D268" s="4"/>
      <c r="E268" s="4"/>
    </row>
    <row r="269">
      <c r="A269" s="4"/>
      <c r="B269" s="4"/>
      <c r="C269" s="4"/>
      <c r="D269" s="4"/>
      <c r="E269" s="4"/>
    </row>
    <row r="270">
      <c r="A270" s="4"/>
      <c r="B270" s="4"/>
      <c r="C270" s="4"/>
      <c r="D270" s="4"/>
      <c r="E270" s="4"/>
    </row>
    <row r="271">
      <c r="A271" s="4"/>
      <c r="B271" s="4"/>
      <c r="C271" s="4"/>
      <c r="D271" s="4"/>
      <c r="E271" s="4"/>
    </row>
    <row r="272">
      <c r="A272" s="4"/>
      <c r="B272" s="4"/>
      <c r="C272" s="4"/>
      <c r="D272" s="4"/>
      <c r="E272" s="4"/>
    </row>
    <row r="273">
      <c r="A273" s="4"/>
      <c r="B273" s="4"/>
      <c r="C273" s="4"/>
      <c r="D273" s="4"/>
      <c r="E273" s="4"/>
    </row>
    <row r="274">
      <c r="A274" s="4"/>
      <c r="B274" s="4"/>
      <c r="C274" s="4"/>
      <c r="D274" s="4"/>
      <c r="E274" s="4"/>
    </row>
    <row r="275">
      <c r="A275" s="4"/>
      <c r="B275" s="4"/>
      <c r="C275" s="4"/>
      <c r="D275" s="4"/>
      <c r="E275" s="4"/>
    </row>
    <row r="276">
      <c r="A276" s="4"/>
      <c r="B276" s="4"/>
      <c r="C276" s="4"/>
      <c r="D276" s="4"/>
      <c r="E276" s="4"/>
    </row>
    <row r="277">
      <c r="A277" s="4"/>
      <c r="B277" s="4"/>
      <c r="C277" s="4"/>
      <c r="D277" s="4"/>
      <c r="E277" s="4"/>
    </row>
    <row r="278">
      <c r="A278" s="4"/>
      <c r="B278" s="4"/>
      <c r="C278" s="4"/>
      <c r="D278" s="4"/>
      <c r="E278" s="4"/>
    </row>
    <row r="279">
      <c r="A279" s="4"/>
      <c r="B279" s="4"/>
      <c r="C279" s="4"/>
      <c r="D279" s="4"/>
      <c r="E279" s="4"/>
    </row>
    <row r="280">
      <c r="A280" s="4"/>
      <c r="B280" s="4"/>
      <c r="C280" s="4"/>
      <c r="D280" s="4"/>
      <c r="E280" s="4"/>
    </row>
    <row r="281">
      <c r="A281" s="4"/>
      <c r="B281" s="4"/>
      <c r="C281" s="4"/>
      <c r="D281" s="4"/>
      <c r="E281" s="4"/>
    </row>
    <row r="282">
      <c r="A282" s="4"/>
      <c r="B282" s="4"/>
      <c r="C282" s="4"/>
      <c r="D282" s="4"/>
      <c r="E282" s="4"/>
    </row>
    <row r="283">
      <c r="A283" s="4"/>
      <c r="B283" s="4"/>
      <c r="C283" s="4"/>
      <c r="D283" s="4"/>
      <c r="E283" s="4"/>
    </row>
    <row r="284">
      <c r="A284" s="4"/>
      <c r="B284" s="4"/>
      <c r="C284" s="4"/>
      <c r="D284" s="4"/>
      <c r="E284" s="4"/>
    </row>
    <row r="285">
      <c r="A285" s="4"/>
      <c r="B285" s="4"/>
      <c r="C285" s="4"/>
      <c r="D285" s="4"/>
      <c r="E285" s="4"/>
    </row>
    <row r="286">
      <c r="A286" s="4"/>
      <c r="B286" s="4"/>
      <c r="C286" s="4"/>
      <c r="D286" s="4"/>
      <c r="E286" s="4"/>
    </row>
    <row r="287">
      <c r="A287" s="4"/>
      <c r="B287" s="4"/>
      <c r="C287" s="4"/>
      <c r="D287" s="4"/>
      <c r="E287" s="4"/>
    </row>
    <row r="288">
      <c r="A288" s="4"/>
      <c r="B288" s="4"/>
      <c r="C288" s="4"/>
      <c r="D288" s="4"/>
      <c r="E288" s="4"/>
    </row>
    <row r="289">
      <c r="A289" s="4"/>
      <c r="B289" s="4"/>
      <c r="C289" s="4"/>
      <c r="D289" s="4"/>
      <c r="E289" s="4"/>
    </row>
    <row r="290">
      <c r="A290" s="4"/>
      <c r="B290" s="4"/>
      <c r="C290" s="4"/>
      <c r="D290" s="4"/>
      <c r="E290" s="4"/>
    </row>
    <row r="291">
      <c r="A291" s="4"/>
      <c r="B291" s="4"/>
      <c r="C291" s="4"/>
      <c r="D291" s="4"/>
      <c r="E291" s="4"/>
    </row>
    <row r="292">
      <c r="A292" s="4"/>
      <c r="B292" s="4"/>
      <c r="C292" s="4"/>
      <c r="D292" s="4"/>
      <c r="E292" s="4"/>
    </row>
    <row r="293">
      <c r="A293" s="4"/>
      <c r="B293" s="4"/>
      <c r="C293" s="4"/>
      <c r="D293" s="4"/>
      <c r="E293" s="4"/>
    </row>
    <row r="294">
      <c r="A294" s="4"/>
      <c r="B294" s="4"/>
      <c r="C294" s="4"/>
      <c r="D294" s="4"/>
      <c r="E294" s="4"/>
    </row>
    <row r="295">
      <c r="A295" s="4"/>
      <c r="B295" s="4"/>
      <c r="C295" s="4"/>
      <c r="D295" s="4"/>
      <c r="E295" s="4"/>
    </row>
    <row r="296">
      <c r="A296" s="4"/>
      <c r="B296" s="4"/>
      <c r="C296" s="4"/>
      <c r="D296" s="4"/>
      <c r="E296" s="4"/>
    </row>
    <row r="297">
      <c r="A297" s="4"/>
      <c r="B297" s="4"/>
      <c r="C297" s="4"/>
      <c r="D297" s="4"/>
      <c r="E297" s="4"/>
    </row>
    <row r="298">
      <c r="A298" s="4"/>
      <c r="B298" s="4"/>
      <c r="C298" s="4"/>
      <c r="D298" s="4"/>
      <c r="E298" s="4"/>
    </row>
    <row r="299">
      <c r="A299" s="4"/>
      <c r="B299" s="4"/>
      <c r="C299" s="4"/>
      <c r="D299" s="4"/>
      <c r="E299" s="4"/>
    </row>
    <row r="300">
      <c r="A300" s="4"/>
      <c r="B300" s="4"/>
      <c r="C300" s="4"/>
      <c r="D300" s="4"/>
      <c r="E300" s="4"/>
    </row>
    <row r="301">
      <c r="A301" s="4"/>
      <c r="B301" s="4"/>
      <c r="C301" s="4"/>
      <c r="D301" s="4"/>
      <c r="E301" s="4"/>
    </row>
    <row r="302">
      <c r="A302" s="4"/>
      <c r="B302" s="4"/>
      <c r="C302" s="4"/>
      <c r="D302" s="4"/>
      <c r="E302" s="4"/>
    </row>
    <row r="303">
      <c r="A303" s="4"/>
      <c r="B303" s="4"/>
      <c r="C303" s="4"/>
      <c r="D303" s="4"/>
      <c r="E303" s="4"/>
    </row>
    <row r="304">
      <c r="A304" s="4"/>
      <c r="B304" s="4"/>
      <c r="C304" s="4"/>
      <c r="D304" s="4"/>
      <c r="E304" s="4"/>
    </row>
    <row r="305">
      <c r="A305" s="4"/>
      <c r="B305" s="4"/>
      <c r="C305" s="4"/>
      <c r="D305" s="4"/>
      <c r="E305" s="4"/>
    </row>
    <row r="306">
      <c r="A306" s="4"/>
      <c r="B306" s="4"/>
      <c r="C306" s="4"/>
      <c r="D306" s="4"/>
      <c r="E306" s="4"/>
    </row>
    <row r="307">
      <c r="A307" s="4"/>
      <c r="B307" s="4"/>
      <c r="C307" s="4"/>
      <c r="D307" s="4"/>
      <c r="E307" s="4"/>
    </row>
    <row r="308">
      <c r="A308" s="4"/>
      <c r="B308" s="4"/>
      <c r="C308" s="4"/>
      <c r="D308" s="4"/>
      <c r="E308" s="4"/>
    </row>
    <row r="309">
      <c r="A309" s="4"/>
      <c r="B309" s="4"/>
      <c r="C309" s="4"/>
      <c r="D309" s="4"/>
      <c r="E309" s="4"/>
    </row>
    <row r="310">
      <c r="A310" s="4"/>
      <c r="B310" s="4"/>
      <c r="C310" s="4"/>
      <c r="D310" s="4"/>
      <c r="E310" s="4"/>
    </row>
    <row r="311">
      <c r="A311" s="4"/>
      <c r="B311" s="4"/>
      <c r="C311" s="4"/>
      <c r="D311" s="4"/>
      <c r="E311" s="4"/>
    </row>
    <row r="312">
      <c r="A312" s="4"/>
      <c r="B312" s="4"/>
      <c r="C312" s="4"/>
      <c r="D312" s="4"/>
      <c r="E312" s="4"/>
    </row>
    <row r="313">
      <c r="A313" s="4"/>
      <c r="B313" s="4"/>
      <c r="C313" s="4"/>
      <c r="D313" s="4"/>
      <c r="E313" s="4"/>
    </row>
    <row r="314">
      <c r="A314" s="4"/>
      <c r="B314" s="4"/>
      <c r="C314" s="4"/>
      <c r="D314" s="4"/>
      <c r="E314" s="4"/>
    </row>
    <row r="315">
      <c r="A315" s="4"/>
      <c r="B315" s="4"/>
      <c r="C315" s="4"/>
      <c r="D315" s="4"/>
      <c r="E315" s="4"/>
    </row>
    <row r="316">
      <c r="A316" s="4"/>
      <c r="B316" s="4"/>
      <c r="C316" s="4"/>
      <c r="D316" s="4"/>
      <c r="E316" s="4"/>
    </row>
    <row r="317">
      <c r="A317" s="4"/>
      <c r="B317" s="4"/>
      <c r="C317" s="4"/>
      <c r="D317" s="4"/>
      <c r="E317" s="4"/>
    </row>
    <row r="318">
      <c r="A318" s="4"/>
      <c r="B318" s="4"/>
      <c r="C318" s="4"/>
      <c r="D318" s="4"/>
      <c r="E318" s="4"/>
    </row>
    <row r="319">
      <c r="A319" s="4"/>
      <c r="B319" s="4"/>
      <c r="C319" s="4"/>
      <c r="D319" s="4"/>
      <c r="E319" s="4"/>
    </row>
    <row r="320">
      <c r="A320" s="4"/>
      <c r="B320" s="4"/>
      <c r="C320" s="4"/>
      <c r="D320" s="4"/>
      <c r="E320" s="4"/>
    </row>
    <row r="321">
      <c r="A321" s="4"/>
      <c r="B321" s="4"/>
      <c r="C321" s="4"/>
      <c r="D321" s="4"/>
      <c r="E321" s="4"/>
    </row>
    <row r="322">
      <c r="A322" s="4"/>
      <c r="B322" s="4"/>
      <c r="C322" s="4"/>
      <c r="D322" s="4"/>
      <c r="E322" s="4"/>
    </row>
    <row r="323">
      <c r="A323" s="4"/>
      <c r="B323" s="4"/>
      <c r="C323" s="4"/>
      <c r="D323" s="4"/>
      <c r="E323" s="4"/>
    </row>
    <row r="324">
      <c r="A324" s="4"/>
      <c r="B324" s="4"/>
      <c r="C324" s="4"/>
      <c r="D324" s="4"/>
      <c r="E324" s="4"/>
    </row>
    <row r="325">
      <c r="A325" s="4"/>
      <c r="B325" s="4"/>
      <c r="C325" s="4"/>
      <c r="D325" s="4"/>
      <c r="E325" s="4"/>
    </row>
    <row r="326">
      <c r="A326" s="4"/>
      <c r="B326" s="4"/>
      <c r="C326" s="4"/>
      <c r="D326" s="4"/>
      <c r="E326" s="4"/>
    </row>
    <row r="327">
      <c r="A327" s="4"/>
      <c r="B327" s="4"/>
      <c r="C327" s="4"/>
      <c r="D327" s="4"/>
      <c r="E327" s="4"/>
    </row>
    <row r="328">
      <c r="A328" s="4"/>
      <c r="B328" s="4"/>
      <c r="C328" s="4"/>
      <c r="D328" s="4"/>
      <c r="E328" s="4"/>
    </row>
    <row r="329">
      <c r="A329" s="4"/>
      <c r="B329" s="4"/>
      <c r="C329" s="4"/>
      <c r="D329" s="4"/>
      <c r="E329" s="4"/>
    </row>
    <row r="330">
      <c r="A330" s="4"/>
      <c r="B330" s="4"/>
      <c r="C330" s="4"/>
      <c r="D330" s="4"/>
      <c r="E330" s="4"/>
    </row>
    <row r="331">
      <c r="A331" s="4"/>
      <c r="B331" s="4"/>
      <c r="C331" s="4"/>
      <c r="D331" s="4"/>
      <c r="E331" s="4"/>
    </row>
    <row r="332">
      <c r="A332" s="4"/>
      <c r="B332" s="4"/>
      <c r="C332" s="4"/>
      <c r="D332" s="4"/>
      <c r="E332" s="4"/>
    </row>
    <row r="333">
      <c r="A333" s="4"/>
      <c r="B333" s="4"/>
      <c r="C333" s="4"/>
      <c r="D333" s="4"/>
      <c r="E333" s="4"/>
    </row>
    <row r="334">
      <c r="A334" s="4"/>
      <c r="B334" s="4"/>
      <c r="C334" s="4"/>
      <c r="D334" s="4"/>
      <c r="E334" s="4"/>
    </row>
    <row r="335">
      <c r="A335" s="4"/>
      <c r="B335" s="4"/>
      <c r="C335" s="4"/>
      <c r="D335" s="4"/>
      <c r="E335" s="4"/>
    </row>
    <row r="336">
      <c r="A336" s="4"/>
      <c r="B336" s="4"/>
      <c r="C336" s="4"/>
      <c r="D336" s="4"/>
      <c r="E336" s="4"/>
    </row>
    <row r="337">
      <c r="A337" s="4"/>
      <c r="B337" s="4"/>
      <c r="C337" s="4"/>
      <c r="D337" s="4"/>
      <c r="E337" s="4"/>
    </row>
    <row r="338">
      <c r="A338" s="4"/>
      <c r="B338" s="4"/>
      <c r="C338" s="4"/>
      <c r="D338" s="4"/>
      <c r="E338" s="4"/>
    </row>
    <row r="339">
      <c r="A339" s="4"/>
      <c r="B339" s="4"/>
      <c r="C339" s="4"/>
      <c r="D339" s="4"/>
      <c r="E339" s="4"/>
    </row>
    <row r="340">
      <c r="A340" s="4"/>
      <c r="B340" s="4"/>
      <c r="C340" s="4"/>
      <c r="D340" s="4"/>
      <c r="E340" s="4"/>
    </row>
    <row r="341">
      <c r="A341" s="4"/>
      <c r="B341" s="4"/>
      <c r="C341" s="4"/>
      <c r="D341" s="4"/>
      <c r="E341" s="4"/>
    </row>
    <row r="342">
      <c r="A342" s="4"/>
      <c r="B342" s="4"/>
      <c r="C342" s="4"/>
      <c r="D342" s="4"/>
      <c r="E342" s="4"/>
    </row>
    <row r="343">
      <c r="A343" s="4"/>
      <c r="B343" s="4"/>
      <c r="C343" s="4"/>
      <c r="D343" s="4"/>
      <c r="E343" s="4"/>
    </row>
    <row r="344">
      <c r="A344" s="4"/>
      <c r="B344" s="4"/>
      <c r="C344" s="4"/>
      <c r="D344" s="4"/>
      <c r="E344" s="4"/>
    </row>
    <row r="345">
      <c r="A345" s="4"/>
      <c r="B345" s="4"/>
      <c r="C345" s="4"/>
      <c r="D345" s="4"/>
      <c r="E345" s="4"/>
    </row>
    <row r="346">
      <c r="A346" s="4"/>
      <c r="B346" s="4"/>
      <c r="C346" s="4"/>
      <c r="D346" s="4"/>
      <c r="E346" s="4"/>
    </row>
    <row r="347">
      <c r="A347" s="4"/>
      <c r="B347" s="4"/>
      <c r="C347" s="4"/>
      <c r="D347" s="4"/>
      <c r="E347" s="4"/>
    </row>
    <row r="348">
      <c r="A348" s="4"/>
      <c r="B348" s="4"/>
      <c r="C348" s="4"/>
      <c r="D348" s="4"/>
      <c r="E348" s="4"/>
    </row>
    <row r="349">
      <c r="A349" s="4"/>
      <c r="B349" s="4"/>
      <c r="C349" s="4"/>
      <c r="D349" s="4"/>
      <c r="E349" s="4"/>
    </row>
    <row r="350">
      <c r="A350" s="4"/>
      <c r="B350" s="4"/>
      <c r="C350" s="4"/>
      <c r="D350" s="4"/>
      <c r="E350" s="4"/>
    </row>
    <row r="351">
      <c r="A351" s="4"/>
      <c r="B351" s="4"/>
      <c r="C351" s="4"/>
      <c r="D351" s="4"/>
      <c r="E351" s="4"/>
    </row>
    <row r="352">
      <c r="A352" s="4"/>
      <c r="B352" s="4"/>
      <c r="C352" s="4"/>
      <c r="D352" s="4"/>
      <c r="E352" s="4"/>
    </row>
    <row r="353">
      <c r="A353" s="4"/>
      <c r="B353" s="4"/>
      <c r="C353" s="4"/>
      <c r="D353" s="4"/>
      <c r="E353" s="4"/>
    </row>
    <row r="354">
      <c r="A354" s="4"/>
      <c r="B354" s="4"/>
      <c r="C354" s="4"/>
      <c r="D354" s="4"/>
      <c r="E354" s="4"/>
    </row>
    <row r="355">
      <c r="A355" s="4"/>
      <c r="B355" s="4"/>
      <c r="C355" s="4"/>
      <c r="D355" s="4"/>
      <c r="E355" s="4"/>
    </row>
    <row r="356">
      <c r="A356" s="4"/>
      <c r="B356" s="4"/>
      <c r="C356" s="4"/>
      <c r="D356" s="4"/>
      <c r="E356" s="4"/>
    </row>
    <row r="357">
      <c r="A357" s="4"/>
      <c r="B357" s="4"/>
      <c r="C357" s="4"/>
      <c r="D357" s="4"/>
      <c r="E357" s="4"/>
    </row>
    <row r="358">
      <c r="A358" s="4"/>
      <c r="B358" s="4"/>
      <c r="C358" s="4"/>
      <c r="D358" s="4"/>
      <c r="E358" s="4"/>
    </row>
    <row r="359">
      <c r="A359" s="4"/>
      <c r="B359" s="4"/>
      <c r="C359" s="4"/>
      <c r="D359" s="4"/>
      <c r="E359" s="4"/>
    </row>
    <row r="360">
      <c r="A360" s="4"/>
      <c r="B360" s="4"/>
      <c r="C360" s="4"/>
      <c r="D360" s="4"/>
      <c r="E360" s="4"/>
    </row>
    <row r="361">
      <c r="A361" s="4"/>
      <c r="B361" s="4"/>
      <c r="C361" s="4"/>
      <c r="D361" s="4"/>
      <c r="E361" s="4"/>
    </row>
    <row r="362">
      <c r="A362" s="4"/>
      <c r="B362" s="4"/>
      <c r="C362" s="4"/>
      <c r="D362" s="4"/>
      <c r="E362" s="4"/>
    </row>
    <row r="363">
      <c r="A363" s="4"/>
      <c r="B363" s="4"/>
      <c r="C363" s="4"/>
      <c r="D363" s="4"/>
      <c r="E363" s="4"/>
    </row>
    <row r="364">
      <c r="A364" s="4"/>
      <c r="B364" s="4"/>
      <c r="C364" s="4"/>
      <c r="D364" s="4"/>
      <c r="E364" s="4"/>
    </row>
    <row r="365">
      <c r="A365" s="4"/>
      <c r="B365" s="4"/>
      <c r="C365" s="4"/>
      <c r="D365" s="4"/>
      <c r="E365" s="4"/>
    </row>
    <row r="366">
      <c r="A366" s="4"/>
      <c r="B366" s="4"/>
      <c r="C366" s="4"/>
      <c r="D366" s="4"/>
      <c r="E366" s="4"/>
    </row>
    <row r="367">
      <c r="A367" s="4"/>
      <c r="B367" s="4"/>
      <c r="C367" s="4"/>
      <c r="D367" s="4"/>
      <c r="E367" s="4"/>
    </row>
    <row r="368">
      <c r="A368" s="4"/>
      <c r="B368" s="4"/>
      <c r="C368" s="4"/>
      <c r="D368" s="4"/>
      <c r="E368" s="4"/>
    </row>
    <row r="369">
      <c r="A369" s="4"/>
      <c r="B369" s="4"/>
      <c r="C369" s="4"/>
      <c r="D369" s="4"/>
      <c r="E369" s="4"/>
    </row>
    <row r="370">
      <c r="A370" s="4"/>
      <c r="B370" s="4"/>
      <c r="C370" s="4"/>
      <c r="D370" s="4"/>
      <c r="E370" s="4"/>
    </row>
    <row r="371">
      <c r="A371" s="4"/>
      <c r="B371" s="4"/>
      <c r="C371" s="4"/>
      <c r="D371" s="4"/>
      <c r="E371" s="4"/>
    </row>
    <row r="372">
      <c r="A372" s="4"/>
      <c r="B372" s="4"/>
      <c r="C372" s="4"/>
      <c r="D372" s="4"/>
      <c r="E372" s="4"/>
    </row>
    <row r="373">
      <c r="A373" s="4"/>
      <c r="B373" s="4"/>
      <c r="C373" s="4"/>
      <c r="D373" s="4"/>
      <c r="E373" s="4"/>
    </row>
    <row r="374">
      <c r="A374" s="4"/>
      <c r="B374" s="4"/>
      <c r="C374" s="4"/>
      <c r="D374" s="4"/>
      <c r="E374" s="4"/>
    </row>
    <row r="375">
      <c r="A375" s="4"/>
      <c r="B375" s="4"/>
      <c r="C375" s="4"/>
      <c r="D375" s="4"/>
      <c r="E375" s="4"/>
    </row>
    <row r="376">
      <c r="A376" s="4"/>
      <c r="B376" s="4"/>
      <c r="C376" s="4"/>
      <c r="D376" s="4"/>
      <c r="E376" s="4"/>
    </row>
    <row r="377">
      <c r="A377" s="4"/>
      <c r="B377" s="4"/>
      <c r="C377" s="4"/>
      <c r="D377" s="4"/>
      <c r="E377" s="4"/>
    </row>
    <row r="378">
      <c r="A378" s="4"/>
      <c r="B378" s="4"/>
      <c r="C378" s="4"/>
      <c r="D378" s="4"/>
      <c r="E378" s="4"/>
    </row>
    <row r="379">
      <c r="A379" s="4"/>
      <c r="B379" s="4"/>
      <c r="C379" s="4"/>
      <c r="D379" s="4"/>
      <c r="E379" s="4"/>
    </row>
    <row r="380">
      <c r="A380" s="4"/>
      <c r="B380" s="4"/>
      <c r="C380" s="4"/>
      <c r="D380" s="4"/>
      <c r="E380" s="4"/>
    </row>
    <row r="381">
      <c r="A381" s="4"/>
      <c r="B381" s="4"/>
      <c r="C381" s="4"/>
      <c r="D381" s="4"/>
      <c r="E381" s="4"/>
    </row>
    <row r="382">
      <c r="A382" s="4"/>
      <c r="B382" s="4"/>
      <c r="C382" s="4"/>
      <c r="D382" s="4"/>
      <c r="E382" s="4"/>
    </row>
    <row r="383">
      <c r="A383" s="4"/>
      <c r="B383" s="4"/>
      <c r="C383" s="4"/>
      <c r="D383" s="4"/>
      <c r="E383" s="4"/>
    </row>
    <row r="384">
      <c r="A384" s="4"/>
      <c r="B384" s="4"/>
      <c r="C384" s="4"/>
      <c r="D384" s="4"/>
      <c r="E384" s="4"/>
    </row>
    <row r="385">
      <c r="A385" s="4"/>
      <c r="B385" s="4"/>
      <c r="C385" s="4"/>
      <c r="D385" s="4"/>
      <c r="E385" s="4"/>
    </row>
    <row r="386">
      <c r="A386" s="4"/>
      <c r="B386" s="4"/>
      <c r="C386" s="4"/>
      <c r="D386" s="4"/>
      <c r="E386" s="4"/>
    </row>
    <row r="387">
      <c r="A387" s="4"/>
      <c r="B387" s="4"/>
      <c r="C387" s="4"/>
      <c r="D387" s="4"/>
      <c r="E387" s="4"/>
    </row>
    <row r="388">
      <c r="A388" s="4"/>
      <c r="B388" s="4"/>
      <c r="C388" s="4"/>
      <c r="D388" s="4"/>
      <c r="E388" s="4"/>
    </row>
    <row r="389">
      <c r="A389" s="4"/>
      <c r="B389" s="4"/>
      <c r="C389" s="4"/>
      <c r="D389" s="4"/>
      <c r="E389" s="4"/>
    </row>
    <row r="390">
      <c r="A390" s="4"/>
      <c r="B390" s="4"/>
      <c r="C390" s="4"/>
      <c r="D390" s="4"/>
      <c r="E390" s="4"/>
    </row>
    <row r="391">
      <c r="A391" s="4"/>
      <c r="B391" s="4"/>
      <c r="C391" s="4"/>
      <c r="D391" s="4"/>
      <c r="E391" s="4"/>
    </row>
    <row r="392">
      <c r="A392" s="4"/>
      <c r="B392" s="4"/>
      <c r="C392" s="4"/>
      <c r="D392" s="4"/>
      <c r="E392" s="4"/>
    </row>
    <row r="393">
      <c r="A393" s="4"/>
      <c r="B393" s="4"/>
      <c r="C393" s="4"/>
      <c r="D393" s="4"/>
      <c r="E393" s="4"/>
    </row>
    <row r="394">
      <c r="A394" s="4"/>
      <c r="B394" s="4"/>
      <c r="C394" s="4"/>
      <c r="D394" s="4"/>
      <c r="E394" s="4"/>
    </row>
    <row r="395">
      <c r="A395" s="4"/>
      <c r="B395" s="4"/>
      <c r="C395" s="4"/>
      <c r="D395" s="4"/>
      <c r="E395" s="4"/>
    </row>
    <row r="396">
      <c r="A396" s="4"/>
      <c r="B396" s="4"/>
      <c r="C396" s="4"/>
      <c r="D396" s="4"/>
      <c r="E396" s="4"/>
    </row>
    <row r="397">
      <c r="A397" s="4"/>
      <c r="B397" s="4"/>
      <c r="C397" s="4"/>
      <c r="D397" s="4"/>
      <c r="E397" s="4"/>
    </row>
    <row r="398">
      <c r="A398" s="4"/>
      <c r="B398" s="4"/>
      <c r="C398" s="4"/>
      <c r="D398" s="4"/>
      <c r="E398" s="4"/>
    </row>
    <row r="399">
      <c r="A399" s="4"/>
      <c r="B399" s="4"/>
      <c r="C399" s="4"/>
      <c r="D399" s="4"/>
      <c r="E399" s="4"/>
    </row>
    <row r="400">
      <c r="A400" s="4"/>
      <c r="B400" s="4"/>
      <c r="C400" s="4"/>
      <c r="D400" s="4"/>
      <c r="E400" s="4"/>
    </row>
    <row r="401">
      <c r="A401" s="4"/>
      <c r="B401" s="4"/>
      <c r="C401" s="4"/>
      <c r="D401" s="4"/>
      <c r="E401" s="4"/>
    </row>
    <row r="402">
      <c r="A402" s="4"/>
      <c r="B402" s="4"/>
      <c r="C402" s="4"/>
      <c r="D402" s="4"/>
      <c r="E402" s="4"/>
    </row>
    <row r="403">
      <c r="A403" s="4"/>
      <c r="B403" s="4"/>
      <c r="C403" s="4"/>
      <c r="D403" s="4"/>
      <c r="E403" s="4"/>
    </row>
    <row r="404">
      <c r="A404" s="4"/>
      <c r="B404" s="4"/>
      <c r="C404" s="4"/>
      <c r="D404" s="4"/>
      <c r="E404" s="4"/>
    </row>
    <row r="405">
      <c r="A405" s="4"/>
      <c r="B405" s="4"/>
      <c r="C405" s="4"/>
      <c r="D405" s="4"/>
      <c r="E405" s="4"/>
    </row>
    <row r="406">
      <c r="A406" s="4"/>
      <c r="B406" s="4"/>
      <c r="C406" s="4"/>
      <c r="D406" s="4"/>
      <c r="E406" s="4"/>
    </row>
    <row r="407">
      <c r="A407" s="4"/>
      <c r="B407" s="4"/>
      <c r="C407" s="4"/>
      <c r="D407" s="4"/>
      <c r="E407" s="4"/>
    </row>
    <row r="408">
      <c r="A408" s="4"/>
      <c r="B408" s="4"/>
      <c r="C408" s="4"/>
      <c r="D408" s="4"/>
      <c r="E408" s="4"/>
    </row>
    <row r="409">
      <c r="A409" s="4"/>
      <c r="B409" s="4"/>
      <c r="C409" s="4"/>
      <c r="D409" s="4"/>
      <c r="E409" s="4"/>
    </row>
    <row r="410">
      <c r="A410" s="4"/>
      <c r="B410" s="4"/>
      <c r="C410" s="4"/>
      <c r="D410" s="4"/>
      <c r="E410" s="4"/>
    </row>
    <row r="411">
      <c r="A411" s="4"/>
      <c r="B411" s="4"/>
      <c r="C411" s="4"/>
      <c r="D411" s="4"/>
      <c r="E411" s="4"/>
    </row>
    <row r="412">
      <c r="A412" s="4"/>
      <c r="B412" s="4"/>
      <c r="C412" s="4"/>
      <c r="D412" s="4"/>
      <c r="E412" s="4"/>
    </row>
    <row r="413">
      <c r="A413" s="4"/>
      <c r="B413" s="4"/>
      <c r="C413" s="4"/>
      <c r="D413" s="4"/>
      <c r="E413" s="4"/>
    </row>
    <row r="414">
      <c r="A414" s="4"/>
      <c r="B414" s="4"/>
      <c r="C414" s="4"/>
      <c r="D414" s="4"/>
      <c r="E414" s="4"/>
    </row>
    <row r="415">
      <c r="A415" s="4"/>
      <c r="B415" s="4"/>
      <c r="C415" s="4"/>
      <c r="D415" s="4"/>
      <c r="E415" s="4"/>
    </row>
    <row r="416">
      <c r="A416" s="4"/>
      <c r="B416" s="4"/>
      <c r="C416" s="4"/>
      <c r="D416" s="4"/>
      <c r="E416" s="4"/>
    </row>
    <row r="417">
      <c r="A417" s="4"/>
      <c r="B417" s="4"/>
      <c r="C417" s="4"/>
      <c r="D417" s="4"/>
      <c r="E417" s="4"/>
    </row>
    <row r="418">
      <c r="A418" s="4"/>
      <c r="B418" s="4"/>
      <c r="C418" s="4"/>
      <c r="D418" s="4"/>
      <c r="E418" s="4"/>
    </row>
    <row r="419">
      <c r="A419" s="4"/>
      <c r="B419" s="4"/>
      <c r="C419" s="4"/>
      <c r="D419" s="4"/>
      <c r="E419" s="4"/>
    </row>
    <row r="420">
      <c r="A420" s="4"/>
      <c r="B420" s="4"/>
      <c r="C420" s="4"/>
      <c r="D420" s="4"/>
      <c r="E420" s="4"/>
    </row>
    <row r="421">
      <c r="A421" s="4"/>
      <c r="B421" s="4"/>
      <c r="C421" s="4"/>
      <c r="D421" s="4"/>
      <c r="E421" s="4"/>
    </row>
    <row r="422">
      <c r="A422" s="4"/>
      <c r="B422" s="4"/>
      <c r="C422" s="4"/>
      <c r="D422" s="4"/>
      <c r="E422" s="4"/>
    </row>
    <row r="423">
      <c r="A423" s="4"/>
      <c r="B423" s="4"/>
      <c r="C423" s="4"/>
      <c r="D423" s="4"/>
      <c r="E423" s="4"/>
    </row>
    <row r="424">
      <c r="A424" s="4"/>
      <c r="B424" s="4"/>
      <c r="C424" s="4"/>
      <c r="D424" s="4"/>
      <c r="E424" s="4"/>
    </row>
    <row r="425">
      <c r="A425" s="4"/>
      <c r="B425" s="4"/>
      <c r="C425" s="4"/>
      <c r="D425" s="4"/>
      <c r="E425" s="4"/>
    </row>
    <row r="426">
      <c r="A426" s="4"/>
      <c r="B426" s="4"/>
      <c r="C426" s="4"/>
      <c r="D426" s="4"/>
      <c r="E426" s="4"/>
    </row>
    <row r="427">
      <c r="A427" s="4"/>
      <c r="B427" s="4"/>
      <c r="C427" s="4"/>
      <c r="D427" s="4"/>
      <c r="E427" s="4"/>
    </row>
    <row r="428">
      <c r="A428" s="4"/>
      <c r="B428" s="4"/>
      <c r="C428" s="4"/>
      <c r="D428" s="4"/>
      <c r="E428" s="4"/>
    </row>
    <row r="429">
      <c r="A429" s="4"/>
      <c r="B429" s="4"/>
      <c r="C429" s="4"/>
      <c r="D429" s="4"/>
      <c r="E429" s="4"/>
    </row>
    <row r="430">
      <c r="A430" s="4"/>
      <c r="B430" s="4"/>
      <c r="C430" s="4"/>
      <c r="D430" s="4"/>
      <c r="E430" s="4"/>
    </row>
    <row r="431">
      <c r="A431" s="4"/>
      <c r="B431" s="4"/>
      <c r="C431" s="4"/>
      <c r="D431" s="4"/>
      <c r="E431" s="4"/>
    </row>
    <row r="432">
      <c r="A432" s="4"/>
      <c r="B432" s="4"/>
      <c r="C432" s="4"/>
      <c r="D432" s="4"/>
      <c r="E432" s="4"/>
    </row>
    <row r="433">
      <c r="A433" s="4"/>
      <c r="B433" s="4"/>
      <c r="C433" s="4"/>
      <c r="D433" s="4"/>
      <c r="E433" s="4"/>
    </row>
    <row r="434">
      <c r="A434" s="4"/>
      <c r="B434" s="4"/>
      <c r="C434" s="4"/>
      <c r="D434" s="4"/>
      <c r="E434" s="4"/>
    </row>
    <row r="435">
      <c r="A435" s="4"/>
      <c r="B435" s="4"/>
      <c r="C435" s="4"/>
      <c r="D435" s="4"/>
      <c r="E435" s="4"/>
    </row>
    <row r="436">
      <c r="A436" s="4"/>
      <c r="B436" s="4"/>
      <c r="C436" s="4"/>
      <c r="D436" s="4"/>
      <c r="E436" s="4"/>
    </row>
    <row r="437">
      <c r="A437" s="4"/>
      <c r="B437" s="4"/>
      <c r="C437" s="4"/>
      <c r="D437" s="4"/>
      <c r="E437" s="4"/>
    </row>
    <row r="438">
      <c r="A438" s="4"/>
      <c r="B438" s="4"/>
      <c r="C438" s="4"/>
      <c r="D438" s="4"/>
      <c r="E438" s="4"/>
    </row>
    <row r="439">
      <c r="A439" s="4"/>
      <c r="B439" s="4"/>
      <c r="C439" s="4"/>
      <c r="D439" s="4"/>
      <c r="E439" s="4"/>
    </row>
    <row r="440">
      <c r="A440" s="4"/>
      <c r="B440" s="4"/>
      <c r="C440" s="4"/>
      <c r="D440" s="4"/>
      <c r="E440" s="4"/>
    </row>
    <row r="441">
      <c r="A441" s="4"/>
      <c r="B441" s="4"/>
      <c r="C441" s="4"/>
      <c r="D441" s="4"/>
      <c r="E441" s="4"/>
    </row>
    <row r="442">
      <c r="A442" s="4"/>
      <c r="B442" s="4"/>
      <c r="C442" s="4"/>
      <c r="D442" s="4"/>
      <c r="E442" s="4"/>
    </row>
    <row r="443">
      <c r="A443" s="4"/>
      <c r="B443" s="4"/>
      <c r="C443" s="4"/>
      <c r="D443" s="4"/>
      <c r="E443" s="4"/>
    </row>
    <row r="444">
      <c r="A444" s="4"/>
      <c r="B444" s="4"/>
      <c r="C444" s="4"/>
      <c r="D444" s="4"/>
      <c r="E444" s="4"/>
    </row>
    <row r="445">
      <c r="A445" s="4"/>
      <c r="B445" s="4"/>
      <c r="C445" s="4"/>
      <c r="D445" s="4"/>
      <c r="E445" s="4"/>
    </row>
    <row r="446">
      <c r="A446" s="4"/>
      <c r="B446" s="4"/>
      <c r="C446" s="4"/>
      <c r="D446" s="4"/>
      <c r="E446" s="4"/>
    </row>
    <row r="447">
      <c r="A447" s="4"/>
      <c r="B447" s="4"/>
      <c r="C447" s="4"/>
      <c r="D447" s="4"/>
      <c r="E447" s="4"/>
    </row>
    <row r="448">
      <c r="A448" s="4"/>
      <c r="B448" s="4"/>
      <c r="C448" s="4"/>
      <c r="D448" s="4"/>
      <c r="E448" s="4"/>
    </row>
    <row r="449">
      <c r="A449" s="4"/>
      <c r="B449" s="4"/>
      <c r="C449" s="4"/>
      <c r="D449" s="4"/>
      <c r="E449" s="4"/>
    </row>
    <row r="450">
      <c r="A450" s="4"/>
      <c r="B450" s="4"/>
      <c r="C450" s="4"/>
      <c r="D450" s="4"/>
      <c r="E450" s="4"/>
    </row>
    <row r="451">
      <c r="A451" s="4"/>
      <c r="B451" s="4"/>
      <c r="C451" s="4"/>
      <c r="D451" s="4"/>
      <c r="E451" s="4"/>
    </row>
    <row r="452">
      <c r="A452" s="4"/>
      <c r="B452" s="4"/>
      <c r="C452" s="4"/>
      <c r="D452" s="4"/>
      <c r="E452" s="4"/>
    </row>
    <row r="453">
      <c r="A453" s="4"/>
      <c r="B453" s="4"/>
      <c r="C453" s="4"/>
      <c r="D453" s="4"/>
      <c r="E453" s="4"/>
    </row>
    <row r="454">
      <c r="A454" s="4"/>
      <c r="B454" s="4"/>
      <c r="C454" s="4"/>
      <c r="D454" s="4"/>
      <c r="E454" s="4"/>
    </row>
    <row r="455">
      <c r="A455" s="4"/>
      <c r="B455" s="4"/>
      <c r="C455" s="4"/>
      <c r="D455" s="4"/>
      <c r="E455" s="4"/>
    </row>
    <row r="456">
      <c r="A456" s="4"/>
      <c r="B456" s="4"/>
      <c r="C456" s="4"/>
      <c r="D456" s="4"/>
      <c r="E456" s="4"/>
    </row>
    <row r="457">
      <c r="A457" s="4"/>
      <c r="B457" s="4"/>
      <c r="C457" s="4"/>
      <c r="D457" s="4"/>
      <c r="E457" s="4"/>
    </row>
    <row r="458">
      <c r="A458" s="4"/>
      <c r="B458" s="4"/>
      <c r="C458" s="4"/>
      <c r="D458" s="4"/>
      <c r="E458" s="4"/>
    </row>
    <row r="459">
      <c r="A459" s="4"/>
      <c r="B459" s="4"/>
      <c r="C459" s="4"/>
      <c r="D459" s="4"/>
      <c r="E459" s="4"/>
    </row>
    <row r="460">
      <c r="A460" s="4"/>
      <c r="B460" s="4"/>
      <c r="C460" s="4"/>
      <c r="D460" s="4"/>
      <c r="E460" s="4"/>
    </row>
    <row r="461">
      <c r="A461" s="4"/>
      <c r="B461" s="4"/>
      <c r="C461" s="4"/>
      <c r="D461" s="4"/>
      <c r="E461" s="4"/>
    </row>
    <row r="462">
      <c r="A462" s="4"/>
      <c r="B462" s="4"/>
      <c r="C462" s="4"/>
      <c r="D462" s="4"/>
      <c r="E462" s="4"/>
    </row>
    <row r="463">
      <c r="A463" s="4"/>
      <c r="B463" s="4"/>
      <c r="C463" s="4"/>
      <c r="D463" s="4"/>
      <c r="E463" s="4"/>
    </row>
    <row r="464">
      <c r="A464" s="4"/>
      <c r="B464" s="4"/>
      <c r="C464" s="4"/>
      <c r="D464" s="4"/>
      <c r="E464" s="4"/>
    </row>
    <row r="465">
      <c r="A465" s="4"/>
      <c r="B465" s="4"/>
      <c r="C465" s="4"/>
      <c r="D465" s="4"/>
      <c r="E465" s="4"/>
    </row>
    <row r="466">
      <c r="A466" s="4"/>
      <c r="B466" s="4"/>
      <c r="C466" s="4"/>
      <c r="D466" s="4"/>
      <c r="E466" s="4"/>
    </row>
    <row r="467">
      <c r="A467" s="4"/>
      <c r="B467" s="4"/>
      <c r="C467" s="4"/>
      <c r="D467" s="4"/>
      <c r="E467" s="4"/>
    </row>
    <row r="468">
      <c r="A468" s="4"/>
      <c r="B468" s="4"/>
      <c r="C468" s="4"/>
      <c r="D468" s="4"/>
      <c r="E468" s="4"/>
    </row>
    <row r="469">
      <c r="A469" s="4"/>
      <c r="B469" s="4"/>
      <c r="C469" s="4"/>
      <c r="D469" s="4"/>
      <c r="E469" s="4"/>
    </row>
    <row r="470">
      <c r="A470" s="4"/>
      <c r="B470" s="4"/>
      <c r="C470" s="4"/>
      <c r="D470" s="4"/>
      <c r="E470" s="4"/>
    </row>
    <row r="471">
      <c r="A471" s="4"/>
      <c r="B471" s="4"/>
      <c r="C471" s="4"/>
      <c r="D471" s="4"/>
      <c r="E471" s="4"/>
    </row>
    <row r="472">
      <c r="A472" s="4"/>
      <c r="B472" s="4"/>
      <c r="C472" s="4"/>
      <c r="D472" s="4"/>
      <c r="E472" s="4"/>
    </row>
    <row r="473">
      <c r="A473" s="4"/>
      <c r="B473" s="4"/>
      <c r="C473" s="4"/>
      <c r="D473" s="4"/>
      <c r="E473" s="4"/>
    </row>
    <row r="474">
      <c r="A474" s="4"/>
      <c r="B474" s="4"/>
      <c r="C474" s="4"/>
      <c r="D474" s="4"/>
      <c r="E474" s="4"/>
    </row>
    <row r="475">
      <c r="A475" s="4"/>
      <c r="B475" s="4"/>
      <c r="C475" s="4"/>
      <c r="D475" s="4"/>
      <c r="E475" s="4"/>
    </row>
    <row r="476">
      <c r="A476" s="4"/>
      <c r="B476" s="4"/>
      <c r="C476" s="4"/>
      <c r="D476" s="4"/>
      <c r="E476" s="4"/>
    </row>
    <row r="477">
      <c r="A477" s="4"/>
      <c r="B477" s="4"/>
      <c r="C477" s="4"/>
      <c r="D477" s="4"/>
      <c r="E477" s="4"/>
    </row>
    <row r="478">
      <c r="A478" s="4"/>
      <c r="B478" s="4"/>
      <c r="C478" s="4"/>
      <c r="D478" s="4"/>
      <c r="E478" s="4"/>
    </row>
    <row r="479">
      <c r="A479" s="4"/>
      <c r="B479" s="4"/>
      <c r="C479" s="4"/>
      <c r="D479" s="4"/>
      <c r="E479" s="4"/>
    </row>
    <row r="480">
      <c r="A480" s="4"/>
      <c r="B480" s="4"/>
      <c r="C480" s="4"/>
      <c r="D480" s="4"/>
      <c r="E480" s="4"/>
    </row>
    <row r="481">
      <c r="A481" s="4"/>
      <c r="B481" s="4"/>
      <c r="C481" s="4"/>
      <c r="D481" s="4"/>
      <c r="E481" s="4"/>
    </row>
    <row r="482">
      <c r="A482" s="4"/>
      <c r="B482" s="4"/>
      <c r="C482" s="4"/>
      <c r="D482" s="4"/>
      <c r="E482" s="4"/>
    </row>
    <row r="483">
      <c r="A483" s="4"/>
      <c r="B483" s="4"/>
      <c r="C483" s="4"/>
      <c r="D483" s="4"/>
      <c r="E483" s="4"/>
    </row>
    <row r="484">
      <c r="A484" s="4"/>
      <c r="B484" s="4"/>
      <c r="C484" s="4"/>
      <c r="D484" s="4"/>
      <c r="E484" s="4"/>
    </row>
    <row r="485">
      <c r="A485" s="4"/>
      <c r="B485" s="4"/>
      <c r="C485" s="4"/>
      <c r="D485" s="4"/>
      <c r="E485" s="4"/>
    </row>
    <row r="486">
      <c r="A486" s="4"/>
      <c r="B486" s="4"/>
      <c r="C486" s="4"/>
      <c r="D486" s="4"/>
      <c r="E486" s="4"/>
    </row>
    <row r="487">
      <c r="A487" s="4"/>
      <c r="B487" s="4"/>
      <c r="C487" s="4"/>
      <c r="D487" s="4"/>
      <c r="E487" s="4"/>
    </row>
    <row r="488">
      <c r="A488" s="4"/>
      <c r="B488" s="4"/>
      <c r="C488" s="4"/>
      <c r="D488" s="4"/>
      <c r="E488" s="4"/>
    </row>
    <row r="489">
      <c r="A489" s="4"/>
      <c r="B489" s="4"/>
      <c r="C489" s="4"/>
      <c r="D489" s="4"/>
      <c r="E489" s="4"/>
    </row>
    <row r="490">
      <c r="A490" s="4"/>
      <c r="B490" s="4"/>
      <c r="C490" s="4"/>
      <c r="D490" s="4"/>
      <c r="E490" s="4"/>
    </row>
    <row r="491">
      <c r="A491" s="4"/>
      <c r="B491" s="4"/>
      <c r="C491" s="4"/>
      <c r="D491" s="4"/>
      <c r="E491" s="4"/>
    </row>
    <row r="492">
      <c r="A492" s="4"/>
      <c r="B492" s="4"/>
      <c r="C492" s="4"/>
      <c r="D492" s="4"/>
      <c r="E492" s="4"/>
    </row>
    <row r="493">
      <c r="A493" s="4"/>
      <c r="B493" s="4"/>
      <c r="C493" s="4"/>
      <c r="D493" s="4"/>
      <c r="E493" s="4"/>
    </row>
    <row r="494">
      <c r="A494" s="4"/>
      <c r="B494" s="4"/>
      <c r="C494" s="4"/>
      <c r="D494" s="4"/>
      <c r="E494" s="4"/>
    </row>
    <row r="495">
      <c r="A495" s="4"/>
      <c r="B495" s="4"/>
      <c r="C495" s="4"/>
      <c r="D495" s="4"/>
      <c r="E495" s="4"/>
    </row>
    <row r="496">
      <c r="A496" s="4"/>
      <c r="B496" s="4"/>
      <c r="C496" s="4"/>
      <c r="D496" s="4"/>
      <c r="E496" s="4"/>
    </row>
    <row r="497">
      <c r="A497" s="4"/>
      <c r="B497" s="4"/>
      <c r="C497" s="4"/>
      <c r="D497" s="4"/>
      <c r="E497" s="4"/>
    </row>
    <row r="498">
      <c r="A498" s="4"/>
      <c r="B498" s="4"/>
      <c r="C498" s="4"/>
      <c r="D498" s="4"/>
      <c r="E498" s="4"/>
    </row>
    <row r="499">
      <c r="A499" s="4"/>
      <c r="B499" s="4"/>
      <c r="C499" s="4"/>
      <c r="D499" s="4"/>
      <c r="E499" s="4"/>
    </row>
    <row r="500">
      <c r="A500" s="4"/>
      <c r="B500" s="4"/>
      <c r="C500" s="4"/>
      <c r="D500" s="4"/>
      <c r="E500" s="4"/>
    </row>
    <row r="501">
      <c r="A501" s="4"/>
      <c r="B501" s="4"/>
      <c r="C501" s="4"/>
      <c r="D501" s="4"/>
      <c r="E501" s="4"/>
    </row>
    <row r="502">
      <c r="A502" s="4"/>
      <c r="B502" s="4"/>
      <c r="C502" s="4"/>
      <c r="D502" s="4"/>
      <c r="E502" s="4"/>
    </row>
    <row r="503">
      <c r="A503" s="4"/>
      <c r="B503" s="4"/>
      <c r="C503" s="4"/>
      <c r="D503" s="4"/>
      <c r="E503" s="4"/>
    </row>
    <row r="504">
      <c r="A504" s="4"/>
      <c r="B504" s="4"/>
      <c r="C504" s="4"/>
      <c r="D504" s="4"/>
      <c r="E504" s="4"/>
    </row>
    <row r="505">
      <c r="A505" s="4"/>
      <c r="B505" s="4"/>
      <c r="C505" s="4"/>
      <c r="D505" s="4"/>
      <c r="E505" s="4"/>
    </row>
    <row r="506">
      <c r="A506" s="4"/>
      <c r="B506" s="4"/>
      <c r="C506" s="4"/>
      <c r="D506" s="4"/>
      <c r="E506" s="4"/>
    </row>
    <row r="507">
      <c r="A507" s="4"/>
      <c r="B507" s="4"/>
      <c r="C507" s="4"/>
      <c r="D507" s="4"/>
      <c r="E507" s="4"/>
    </row>
    <row r="508">
      <c r="A508" s="4"/>
      <c r="B508" s="4"/>
      <c r="C508" s="4"/>
      <c r="D508" s="4"/>
      <c r="E508" s="4"/>
    </row>
    <row r="509">
      <c r="A509" s="4"/>
      <c r="B509" s="4"/>
      <c r="C509" s="4"/>
      <c r="D509" s="4"/>
      <c r="E509" s="4"/>
    </row>
    <row r="510">
      <c r="A510" s="4"/>
      <c r="B510" s="4"/>
      <c r="C510" s="4"/>
      <c r="D510" s="4"/>
      <c r="E510" s="4"/>
    </row>
    <row r="511">
      <c r="A511" s="4"/>
      <c r="B511" s="4"/>
      <c r="C511" s="4"/>
      <c r="D511" s="4"/>
      <c r="E511" s="4"/>
    </row>
    <row r="512">
      <c r="A512" s="4"/>
      <c r="B512" s="4"/>
      <c r="C512" s="4"/>
      <c r="D512" s="4"/>
      <c r="E512" s="4"/>
    </row>
    <row r="513">
      <c r="A513" s="4"/>
      <c r="B513" s="4"/>
      <c r="C513" s="4"/>
      <c r="D513" s="4"/>
      <c r="E513" s="4"/>
    </row>
    <row r="514">
      <c r="A514" s="4"/>
      <c r="B514" s="4"/>
      <c r="C514" s="4"/>
      <c r="D514" s="4"/>
      <c r="E514" s="4"/>
    </row>
    <row r="515">
      <c r="A515" s="4"/>
      <c r="B515" s="4"/>
      <c r="C515" s="4"/>
      <c r="D515" s="4"/>
      <c r="E515" s="4"/>
    </row>
    <row r="516">
      <c r="A516" s="4"/>
      <c r="B516" s="4"/>
      <c r="C516" s="4"/>
      <c r="D516" s="4"/>
      <c r="E516" s="4"/>
    </row>
    <row r="517">
      <c r="A517" s="4"/>
      <c r="B517" s="4"/>
      <c r="C517" s="4"/>
      <c r="D517" s="4"/>
      <c r="E517" s="4"/>
    </row>
    <row r="518">
      <c r="A518" s="4"/>
      <c r="B518" s="4"/>
      <c r="C518" s="4"/>
      <c r="D518" s="4"/>
      <c r="E518" s="4"/>
    </row>
    <row r="519">
      <c r="A519" s="4"/>
      <c r="B519" s="4"/>
      <c r="C519" s="4"/>
      <c r="D519" s="4"/>
      <c r="E519" s="4"/>
    </row>
    <row r="520">
      <c r="A520" s="4"/>
      <c r="B520" s="4"/>
      <c r="C520" s="4"/>
      <c r="D520" s="4"/>
      <c r="E520" s="4"/>
    </row>
    <row r="521">
      <c r="A521" s="4"/>
      <c r="B521" s="4"/>
      <c r="C521" s="4"/>
      <c r="D521" s="4"/>
      <c r="E521" s="4"/>
    </row>
    <row r="522">
      <c r="A522" s="4"/>
      <c r="B522" s="4"/>
      <c r="C522" s="4"/>
      <c r="D522" s="4"/>
      <c r="E522" s="4"/>
    </row>
    <row r="523">
      <c r="A523" s="4"/>
      <c r="B523" s="4"/>
      <c r="C523" s="4"/>
      <c r="D523" s="4"/>
      <c r="E523" s="4"/>
    </row>
    <row r="524">
      <c r="A524" s="4"/>
      <c r="B524" s="4"/>
      <c r="C524" s="4"/>
      <c r="D524" s="4"/>
      <c r="E524" s="4"/>
    </row>
    <row r="525">
      <c r="A525" s="4"/>
      <c r="B525" s="4"/>
      <c r="C525" s="4"/>
      <c r="D525" s="4"/>
      <c r="E525" s="4"/>
    </row>
    <row r="526">
      <c r="A526" s="4"/>
      <c r="B526" s="4"/>
      <c r="C526" s="4"/>
      <c r="D526" s="4"/>
      <c r="E526" s="4"/>
    </row>
    <row r="527">
      <c r="A527" s="4"/>
      <c r="B527" s="4"/>
      <c r="C527" s="4"/>
      <c r="D527" s="4"/>
      <c r="E527" s="4"/>
    </row>
    <row r="528">
      <c r="A528" s="4"/>
      <c r="B528" s="4"/>
      <c r="C528" s="4"/>
      <c r="D528" s="4"/>
      <c r="E528" s="4"/>
    </row>
    <row r="529">
      <c r="A529" s="4"/>
      <c r="B529" s="4"/>
      <c r="C529" s="4"/>
      <c r="D529" s="4"/>
      <c r="E529" s="4"/>
    </row>
    <row r="530">
      <c r="A530" s="4"/>
      <c r="B530" s="4"/>
      <c r="C530" s="4"/>
      <c r="D530" s="4"/>
      <c r="E530" s="4"/>
    </row>
    <row r="531">
      <c r="A531" s="4"/>
      <c r="B531" s="4"/>
      <c r="C531" s="4"/>
      <c r="D531" s="4"/>
      <c r="E531" s="4"/>
    </row>
    <row r="532">
      <c r="A532" s="4"/>
      <c r="B532" s="4"/>
      <c r="C532" s="4"/>
      <c r="D532" s="4"/>
      <c r="E532" s="4"/>
    </row>
    <row r="533">
      <c r="A533" s="4"/>
      <c r="B533" s="4"/>
      <c r="C533" s="4"/>
      <c r="D533" s="4"/>
      <c r="E533" s="4"/>
    </row>
    <row r="534">
      <c r="A534" s="4"/>
      <c r="B534" s="4"/>
      <c r="C534" s="4"/>
      <c r="D534" s="4"/>
      <c r="E534" s="4"/>
    </row>
    <row r="535">
      <c r="A535" s="4"/>
      <c r="B535" s="4"/>
      <c r="C535" s="4"/>
      <c r="D535" s="4"/>
      <c r="E535" s="4"/>
    </row>
    <row r="536">
      <c r="A536" s="4"/>
      <c r="B536" s="4"/>
      <c r="C536" s="4"/>
      <c r="D536" s="4"/>
      <c r="E536" s="4"/>
    </row>
    <row r="537">
      <c r="A537" s="4"/>
      <c r="B537" s="4"/>
      <c r="C537" s="4"/>
      <c r="D537" s="4"/>
      <c r="E537" s="4"/>
    </row>
    <row r="538">
      <c r="A538" s="4"/>
      <c r="B538" s="4"/>
      <c r="C538" s="4"/>
      <c r="D538" s="4"/>
      <c r="E538" s="4"/>
    </row>
    <row r="539">
      <c r="A539" s="4"/>
      <c r="B539" s="4"/>
      <c r="C539" s="4"/>
      <c r="D539" s="4"/>
      <c r="E539" s="4"/>
    </row>
    <row r="540">
      <c r="A540" s="4"/>
      <c r="B540" s="4"/>
      <c r="C540" s="4"/>
      <c r="D540" s="4"/>
      <c r="E540" s="4"/>
    </row>
    <row r="541">
      <c r="A541" s="4"/>
      <c r="B541" s="4"/>
      <c r="C541" s="4"/>
      <c r="D541" s="4"/>
      <c r="E541" s="4"/>
    </row>
    <row r="542">
      <c r="A542" s="4"/>
      <c r="B542" s="4"/>
      <c r="C542" s="4"/>
      <c r="D542" s="4"/>
      <c r="E542" s="4"/>
    </row>
    <row r="543">
      <c r="A543" s="4"/>
      <c r="B543" s="4"/>
      <c r="C543" s="4"/>
      <c r="D543" s="4"/>
      <c r="E543" s="4"/>
    </row>
    <row r="544">
      <c r="A544" s="4"/>
      <c r="B544" s="4"/>
      <c r="C544" s="4"/>
      <c r="D544" s="4"/>
      <c r="E544" s="4"/>
    </row>
    <row r="545">
      <c r="A545" s="4"/>
      <c r="B545" s="4"/>
      <c r="C545" s="4"/>
      <c r="D545" s="4"/>
      <c r="E545" s="4"/>
    </row>
    <row r="546">
      <c r="A546" s="4"/>
      <c r="B546" s="4"/>
      <c r="C546" s="4"/>
      <c r="D546" s="4"/>
      <c r="E546" s="4"/>
    </row>
    <row r="547">
      <c r="A547" s="4"/>
      <c r="B547" s="4"/>
      <c r="C547" s="4"/>
      <c r="D547" s="4"/>
      <c r="E547" s="4"/>
    </row>
    <row r="548">
      <c r="A548" s="4"/>
      <c r="B548" s="4"/>
      <c r="C548" s="4"/>
      <c r="D548" s="4"/>
      <c r="E548" s="4"/>
    </row>
    <row r="549">
      <c r="A549" s="4"/>
      <c r="B549" s="4"/>
      <c r="C549" s="4"/>
      <c r="D549" s="4"/>
      <c r="E549" s="4"/>
    </row>
    <row r="550">
      <c r="A550" s="4"/>
      <c r="B550" s="4"/>
      <c r="C550" s="4"/>
      <c r="D550" s="4"/>
      <c r="E550" s="4"/>
    </row>
    <row r="551">
      <c r="A551" s="4"/>
      <c r="B551" s="4"/>
      <c r="C551" s="4"/>
      <c r="D551" s="4"/>
      <c r="E551" s="4"/>
    </row>
    <row r="552">
      <c r="A552" s="4"/>
      <c r="B552" s="4"/>
      <c r="C552" s="4"/>
      <c r="D552" s="4"/>
      <c r="E552" s="4"/>
    </row>
    <row r="553">
      <c r="A553" s="4"/>
      <c r="B553" s="4"/>
      <c r="C553" s="4"/>
      <c r="D553" s="4"/>
      <c r="E553" s="4"/>
    </row>
    <row r="554">
      <c r="A554" s="4"/>
      <c r="B554" s="4"/>
      <c r="C554" s="4"/>
      <c r="D554" s="4"/>
      <c r="E554" s="4"/>
    </row>
    <row r="555">
      <c r="A555" s="4"/>
      <c r="B555" s="4"/>
      <c r="C555" s="4"/>
      <c r="D555" s="4"/>
      <c r="E555" s="4"/>
    </row>
    <row r="556">
      <c r="A556" s="4"/>
      <c r="B556" s="4"/>
      <c r="C556" s="4"/>
      <c r="D556" s="4"/>
      <c r="E556" s="4"/>
    </row>
    <row r="557">
      <c r="A557" s="4"/>
      <c r="B557" s="4"/>
      <c r="C557" s="4"/>
      <c r="D557" s="4"/>
      <c r="E557" s="4"/>
    </row>
    <row r="558">
      <c r="A558" s="4"/>
      <c r="B558" s="4"/>
      <c r="C558" s="4"/>
      <c r="D558" s="4"/>
      <c r="E558" s="4"/>
    </row>
    <row r="559">
      <c r="A559" s="4"/>
      <c r="B559" s="4"/>
      <c r="C559" s="4"/>
      <c r="D559" s="4"/>
      <c r="E559" s="4"/>
    </row>
    <row r="560">
      <c r="A560" s="4"/>
      <c r="B560" s="4"/>
      <c r="C560" s="4"/>
      <c r="D560" s="4"/>
      <c r="E560" s="4"/>
    </row>
    <row r="561">
      <c r="A561" s="4"/>
      <c r="B561" s="4"/>
      <c r="C561" s="4"/>
      <c r="D561" s="4"/>
      <c r="E561" s="4"/>
    </row>
    <row r="562">
      <c r="A562" s="4"/>
      <c r="B562" s="4"/>
      <c r="C562" s="4"/>
      <c r="D562" s="4"/>
      <c r="E562" s="4"/>
    </row>
    <row r="563">
      <c r="A563" s="4"/>
      <c r="B563" s="4"/>
      <c r="C563" s="4"/>
      <c r="D563" s="4"/>
      <c r="E563" s="4"/>
    </row>
    <row r="564">
      <c r="A564" s="4"/>
      <c r="B564" s="4"/>
      <c r="C564" s="4"/>
      <c r="D564" s="4"/>
      <c r="E564" s="4"/>
    </row>
    <row r="565">
      <c r="A565" s="4"/>
      <c r="B565" s="4"/>
      <c r="C565" s="4"/>
      <c r="D565" s="4"/>
      <c r="E565" s="4"/>
    </row>
    <row r="566">
      <c r="A566" s="4"/>
      <c r="B566" s="4"/>
      <c r="C566" s="4"/>
      <c r="D566" s="4"/>
      <c r="E566" s="4"/>
    </row>
    <row r="567">
      <c r="A567" s="4"/>
      <c r="B567" s="4"/>
      <c r="C567" s="4"/>
      <c r="D567" s="4"/>
      <c r="E567" s="4"/>
    </row>
    <row r="568">
      <c r="A568" s="4"/>
      <c r="B568" s="4"/>
      <c r="C568" s="4"/>
      <c r="D568" s="4"/>
      <c r="E568" s="4"/>
    </row>
    <row r="569">
      <c r="A569" s="4"/>
      <c r="B569" s="4"/>
      <c r="C569" s="4"/>
      <c r="D569" s="4"/>
      <c r="E569" s="4"/>
    </row>
    <row r="570">
      <c r="A570" s="4"/>
      <c r="B570" s="4"/>
      <c r="C570" s="4"/>
      <c r="D570" s="4"/>
      <c r="E570" s="4"/>
    </row>
    <row r="571">
      <c r="A571" s="4"/>
      <c r="B571" s="4"/>
      <c r="C571" s="4"/>
      <c r="D571" s="4"/>
      <c r="E571" s="4"/>
    </row>
    <row r="572">
      <c r="A572" s="4"/>
      <c r="B572" s="4"/>
      <c r="C572" s="4"/>
      <c r="D572" s="4"/>
      <c r="E572" s="4"/>
    </row>
    <row r="573">
      <c r="A573" s="4"/>
      <c r="B573" s="4"/>
      <c r="C573" s="4"/>
      <c r="D573" s="4"/>
      <c r="E573" s="4"/>
    </row>
    <row r="574">
      <c r="A574" s="4"/>
      <c r="B574" s="4"/>
      <c r="C574" s="4"/>
      <c r="D574" s="4"/>
      <c r="E574" s="4"/>
    </row>
    <row r="575">
      <c r="A575" s="4"/>
      <c r="B575" s="4"/>
      <c r="C575" s="4"/>
      <c r="D575" s="4"/>
      <c r="E575" s="4"/>
    </row>
    <row r="576">
      <c r="A576" s="4"/>
      <c r="B576" s="4"/>
      <c r="C576" s="4"/>
      <c r="D576" s="4"/>
      <c r="E576" s="4"/>
    </row>
    <row r="577">
      <c r="A577" s="4"/>
      <c r="B577" s="4"/>
      <c r="C577" s="4"/>
      <c r="D577" s="4"/>
      <c r="E577" s="4"/>
    </row>
    <row r="578">
      <c r="A578" s="4"/>
      <c r="B578" s="4"/>
      <c r="C578" s="4"/>
      <c r="D578" s="4"/>
      <c r="E578" s="4"/>
    </row>
    <row r="579">
      <c r="A579" s="4"/>
      <c r="B579" s="4"/>
      <c r="C579" s="4"/>
      <c r="D579" s="4"/>
      <c r="E579" s="4"/>
    </row>
    <row r="580">
      <c r="A580" s="4"/>
      <c r="B580" s="4"/>
      <c r="C580" s="4"/>
      <c r="D580" s="4"/>
      <c r="E580" s="4"/>
    </row>
    <row r="581">
      <c r="A581" s="4"/>
      <c r="B581" s="4"/>
      <c r="C581" s="4"/>
      <c r="D581" s="4"/>
      <c r="E581" s="4"/>
    </row>
    <row r="582">
      <c r="A582" s="4"/>
      <c r="B582" s="4"/>
      <c r="C582" s="4"/>
      <c r="D582" s="4"/>
      <c r="E582" s="4"/>
    </row>
    <row r="583">
      <c r="A583" s="4"/>
      <c r="B583" s="4"/>
      <c r="C583" s="4"/>
      <c r="D583" s="4"/>
      <c r="E583" s="4"/>
    </row>
    <row r="584">
      <c r="A584" s="4"/>
      <c r="B584" s="4"/>
      <c r="C584" s="4"/>
      <c r="D584" s="4"/>
      <c r="E584" s="4"/>
    </row>
    <row r="585">
      <c r="A585" s="4"/>
      <c r="B585" s="4"/>
      <c r="C585" s="4"/>
      <c r="D585" s="4"/>
      <c r="E585" s="4"/>
    </row>
    <row r="586">
      <c r="A586" s="4"/>
      <c r="B586" s="4"/>
      <c r="C586" s="4"/>
      <c r="D586" s="4"/>
      <c r="E586" s="4"/>
    </row>
    <row r="587">
      <c r="A587" s="4"/>
      <c r="B587" s="4"/>
      <c r="C587" s="4"/>
      <c r="D587" s="4"/>
      <c r="E587" s="4"/>
    </row>
    <row r="588">
      <c r="A588" s="4"/>
      <c r="B588" s="4"/>
      <c r="C588" s="4"/>
      <c r="D588" s="4"/>
      <c r="E588" s="4"/>
    </row>
    <row r="589">
      <c r="A589" s="4"/>
      <c r="B589" s="4"/>
      <c r="C589" s="4"/>
      <c r="D589" s="4"/>
      <c r="E589" s="4"/>
    </row>
    <row r="590">
      <c r="A590" s="4"/>
      <c r="B590" s="4"/>
      <c r="C590" s="4"/>
      <c r="D590" s="4"/>
      <c r="E590" s="4"/>
    </row>
    <row r="591">
      <c r="A591" s="4"/>
      <c r="B591" s="4"/>
      <c r="C591" s="4"/>
      <c r="D591" s="4"/>
      <c r="E591" s="4"/>
    </row>
    <row r="592">
      <c r="A592" s="4"/>
      <c r="B592" s="4"/>
      <c r="C592" s="4"/>
      <c r="D592" s="4"/>
      <c r="E592" s="4"/>
    </row>
    <row r="593">
      <c r="A593" s="4"/>
      <c r="B593" s="4"/>
      <c r="C593" s="4"/>
      <c r="D593" s="4"/>
      <c r="E593" s="4"/>
    </row>
    <row r="594">
      <c r="A594" s="4"/>
      <c r="B594" s="4"/>
      <c r="C594" s="4"/>
      <c r="D594" s="4"/>
      <c r="E594" s="4"/>
    </row>
    <row r="595">
      <c r="A595" s="4"/>
      <c r="B595" s="4"/>
      <c r="C595" s="4"/>
      <c r="D595" s="4"/>
      <c r="E595" s="4"/>
    </row>
    <row r="596">
      <c r="A596" s="4"/>
      <c r="B596" s="4"/>
      <c r="C596" s="4"/>
      <c r="D596" s="4"/>
      <c r="E596" s="4"/>
    </row>
    <row r="597">
      <c r="A597" s="4"/>
      <c r="B597" s="4"/>
      <c r="C597" s="4"/>
      <c r="D597" s="4"/>
      <c r="E597" s="4"/>
    </row>
    <row r="598">
      <c r="A598" s="4"/>
      <c r="B598" s="4"/>
      <c r="C598" s="4"/>
      <c r="D598" s="4"/>
      <c r="E598" s="4"/>
    </row>
    <row r="599">
      <c r="A599" s="4"/>
      <c r="B599" s="4"/>
      <c r="C599" s="4"/>
      <c r="D599" s="4"/>
      <c r="E599" s="4"/>
    </row>
    <row r="600">
      <c r="A600" s="4"/>
      <c r="B600" s="4"/>
      <c r="C600" s="4"/>
      <c r="D600" s="4"/>
      <c r="E600" s="4"/>
    </row>
    <row r="601">
      <c r="A601" s="4"/>
      <c r="B601" s="4"/>
      <c r="C601" s="4"/>
      <c r="D601" s="4"/>
      <c r="E601" s="4"/>
    </row>
    <row r="602">
      <c r="A602" s="4"/>
      <c r="B602" s="4"/>
      <c r="C602" s="4"/>
      <c r="D602" s="4"/>
      <c r="E602" s="4"/>
    </row>
    <row r="603">
      <c r="A603" s="4"/>
      <c r="B603" s="4"/>
      <c r="C603" s="4"/>
      <c r="D603" s="4"/>
      <c r="E603" s="4"/>
    </row>
    <row r="604">
      <c r="A604" s="4"/>
      <c r="B604" s="4"/>
      <c r="C604" s="4"/>
      <c r="D604" s="4"/>
      <c r="E604" s="4"/>
    </row>
    <row r="605">
      <c r="A605" s="4"/>
      <c r="B605" s="4"/>
      <c r="C605" s="4"/>
      <c r="D605" s="4"/>
      <c r="E605" s="4"/>
    </row>
    <row r="606">
      <c r="A606" s="4"/>
      <c r="B606" s="4"/>
      <c r="C606" s="4"/>
      <c r="D606" s="4"/>
      <c r="E606" s="4"/>
    </row>
    <row r="607">
      <c r="A607" s="4"/>
      <c r="B607" s="4"/>
      <c r="C607" s="4"/>
      <c r="D607" s="4"/>
      <c r="E607" s="4"/>
    </row>
    <row r="608">
      <c r="A608" s="4"/>
      <c r="B608" s="4"/>
      <c r="C608" s="4"/>
      <c r="D608" s="4"/>
      <c r="E608" s="4"/>
    </row>
    <row r="609">
      <c r="A609" s="4"/>
      <c r="B609" s="4"/>
      <c r="C609" s="4"/>
      <c r="D609" s="4"/>
      <c r="E609" s="4"/>
    </row>
    <row r="610">
      <c r="A610" s="4"/>
      <c r="B610" s="4"/>
      <c r="C610" s="4"/>
      <c r="D610" s="4"/>
      <c r="E610" s="4"/>
    </row>
    <row r="611">
      <c r="A611" s="4"/>
      <c r="B611" s="4"/>
      <c r="C611" s="4"/>
      <c r="D611" s="4"/>
      <c r="E611" s="4"/>
    </row>
    <row r="612">
      <c r="A612" s="4"/>
      <c r="B612" s="4"/>
      <c r="C612" s="4"/>
      <c r="D612" s="4"/>
      <c r="E612" s="4"/>
    </row>
    <row r="613">
      <c r="A613" s="4"/>
      <c r="B613" s="4"/>
      <c r="C613" s="4"/>
      <c r="D613" s="4"/>
      <c r="E613" s="4"/>
    </row>
    <row r="614">
      <c r="A614" s="4"/>
      <c r="B614" s="4"/>
      <c r="C614" s="4"/>
      <c r="D614" s="4"/>
      <c r="E614" s="4"/>
    </row>
    <row r="615">
      <c r="A615" s="4"/>
      <c r="B615" s="4"/>
      <c r="C615" s="4"/>
      <c r="D615" s="4"/>
      <c r="E615" s="4"/>
    </row>
    <row r="616">
      <c r="A616" s="4"/>
      <c r="B616" s="4"/>
      <c r="C616" s="4"/>
      <c r="D616" s="4"/>
      <c r="E616" s="4"/>
    </row>
    <row r="617">
      <c r="A617" s="4"/>
      <c r="B617" s="4"/>
      <c r="C617" s="4"/>
      <c r="D617" s="4"/>
      <c r="E617" s="4"/>
    </row>
    <row r="618">
      <c r="A618" s="4"/>
      <c r="B618" s="4"/>
      <c r="C618" s="4"/>
      <c r="D618" s="4"/>
      <c r="E618" s="4"/>
    </row>
    <row r="619">
      <c r="A619" s="4"/>
      <c r="B619" s="4"/>
      <c r="C619" s="4"/>
      <c r="D619" s="4"/>
      <c r="E619" s="4"/>
    </row>
    <row r="620">
      <c r="A620" s="4"/>
      <c r="B620" s="4"/>
      <c r="C620" s="4"/>
      <c r="D620" s="4"/>
      <c r="E620" s="4"/>
    </row>
    <row r="621">
      <c r="A621" s="4"/>
      <c r="B621" s="4"/>
      <c r="C621" s="4"/>
      <c r="D621" s="4"/>
      <c r="E621" s="4"/>
    </row>
    <row r="622">
      <c r="A622" s="4"/>
      <c r="B622" s="4"/>
      <c r="C622" s="4"/>
      <c r="D622" s="4"/>
      <c r="E622" s="4"/>
    </row>
    <row r="623">
      <c r="A623" s="4"/>
      <c r="B623" s="4"/>
      <c r="C623" s="4"/>
      <c r="D623" s="4"/>
      <c r="E623" s="4"/>
    </row>
    <row r="624">
      <c r="A624" s="4"/>
      <c r="B624" s="4"/>
      <c r="C624" s="4"/>
      <c r="D624" s="4"/>
      <c r="E624" s="4"/>
    </row>
    <row r="625">
      <c r="A625" s="4"/>
      <c r="B625" s="4"/>
      <c r="C625" s="4"/>
      <c r="D625" s="4"/>
      <c r="E625" s="4"/>
    </row>
    <row r="626">
      <c r="A626" s="4"/>
      <c r="B626" s="4"/>
      <c r="C626" s="4"/>
      <c r="D626" s="4"/>
      <c r="E626" s="4"/>
    </row>
    <row r="627">
      <c r="A627" s="4"/>
      <c r="B627" s="4"/>
      <c r="C627" s="4"/>
      <c r="D627" s="4"/>
      <c r="E627" s="4"/>
    </row>
    <row r="628">
      <c r="A628" s="4"/>
      <c r="B628" s="4"/>
      <c r="C628" s="4"/>
      <c r="D628" s="4"/>
      <c r="E628" s="4"/>
    </row>
    <row r="629">
      <c r="A629" s="4"/>
      <c r="B629" s="4"/>
      <c r="C629" s="4"/>
      <c r="D629" s="4"/>
      <c r="E629" s="4"/>
    </row>
    <row r="630">
      <c r="A630" s="4"/>
      <c r="B630" s="4"/>
      <c r="C630" s="4"/>
      <c r="D630" s="4"/>
      <c r="E630" s="4"/>
    </row>
    <row r="631">
      <c r="A631" s="4"/>
      <c r="B631" s="4"/>
      <c r="C631" s="4"/>
      <c r="D631" s="4"/>
      <c r="E631" s="4"/>
    </row>
    <row r="632">
      <c r="A632" s="4"/>
      <c r="B632" s="4"/>
      <c r="C632" s="4"/>
      <c r="D632" s="4"/>
      <c r="E632" s="4"/>
    </row>
    <row r="633">
      <c r="A633" s="4"/>
      <c r="B633" s="4"/>
      <c r="C633" s="4"/>
      <c r="D633" s="4"/>
      <c r="E633" s="4"/>
    </row>
    <row r="634">
      <c r="A634" s="4"/>
      <c r="B634" s="4"/>
      <c r="C634" s="4"/>
      <c r="D634" s="4"/>
      <c r="E634" s="4"/>
    </row>
    <row r="635">
      <c r="A635" s="4"/>
      <c r="B635" s="4"/>
      <c r="C635" s="4"/>
      <c r="D635" s="4"/>
      <c r="E635" s="4"/>
    </row>
    <row r="636">
      <c r="A636" s="4"/>
      <c r="B636" s="4"/>
      <c r="C636" s="4"/>
      <c r="D636" s="4"/>
      <c r="E636" s="4"/>
    </row>
    <row r="637">
      <c r="A637" s="4"/>
      <c r="B637" s="4"/>
      <c r="C637" s="4"/>
      <c r="D637" s="4"/>
      <c r="E637" s="4"/>
    </row>
    <row r="638">
      <c r="A638" s="4"/>
      <c r="B638" s="4"/>
      <c r="C638" s="4"/>
      <c r="D638" s="4"/>
      <c r="E638" s="4"/>
    </row>
    <row r="639">
      <c r="A639" s="4"/>
      <c r="B639" s="4"/>
      <c r="C639" s="4"/>
      <c r="D639" s="4"/>
      <c r="E639" s="4"/>
    </row>
    <row r="640">
      <c r="A640" s="4"/>
      <c r="B640" s="4"/>
      <c r="C640" s="4"/>
      <c r="D640" s="4"/>
      <c r="E640" s="4"/>
    </row>
    <row r="641">
      <c r="A641" s="4"/>
      <c r="B641" s="4"/>
      <c r="C641" s="4"/>
      <c r="D641" s="4"/>
      <c r="E641" s="4"/>
    </row>
    <row r="642">
      <c r="A642" s="4"/>
      <c r="B642" s="4"/>
      <c r="C642" s="4"/>
      <c r="D642" s="4"/>
      <c r="E642" s="4"/>
    </row>
    <row r="643">
      <c r="A643" s="4"/>
      <c r="B643" s="4"/>
      <c r="C643" s="4"/>
      <c r="D643" s="4"/>
      <c r="E643" s="4"/>
    </row>
    <row r="644">
      <c r="A644" s="4"/>
      <c r="B644" s="4"/>
      <c r="C644" s="4"/>
      <c r="D644" s="4"/>
      <c r="E644" s="4"/>
    </row>
    <row r="645">
      <c r="A645" s="4"/>
      <c r="B645" s="4"/>
      <c r="C645" s="4"/>
      <c r="D645" s="4"/>
      <c r="E645" s="4"/>
    </row>
    <row r="646">
      <c r="A646" s="4"/>
      <c r="B646" s="4"/>
      <c r="C646" s="4"/>
      <c r="D646" s="4"/>
      <c r="E646" s="4"/>
    </row>
    <row r="647">
      <c r="A647" s="4"/>
      <c r="B647" s="4"/>
      <c r="C647" s="4"/>
      <c r="D647" s="4"/>
      <c r="E647" s="4"/>
    </row>
    <row r="648">
      <c r="A648" s="4"/>
      <c r="B648" s="4"/>
      <c r="C648" s="4"/>
      <c r="D648" s="4"/>
      <c r="E648" s="4"/>
    </row>
    <row r="649">
      <c r="A649" s="4"/>
      <c r="B649" s="4"/>
      <c r="C649" s="4"/>
      <c r="D649" s="4"/>
      <c r="E649" s="4"/>
    </row>
    <row r="650">
      <c r="A650" s="4"/>
      <c r="B650" s="4"/>
      <c r="C650" s="4"/>
      <c r="D650" s="4"/>
      <c r="E650" s="4"/>
    </row>
    <row r="651">
      <c r="A651" s="4"/>
      <c r="B651" s="4"/>
      <c r="C651" s="4"/>
      <c r="D651" s="4"/>
      <c r="E651" s="4"/>
    </row>
    <row r="652">
      <c r="A652" s="4"/>
      <c r="B652" s="4"/>
      <c r="C652" s="4"/>
      <c r="D652" s="4"/>
      <c r="E652" s="4"/>
    </row>
    <row r="653">
      <c r="A653" s="4"/>
      <c r="B653" s="4"/>
      <c r="C653" s="4"/>
      <c r="D653" s="4"/>
      <c r="E653" s="4"/>
    </row>
    <row r="654">
      <c r="A654" s="4"/>
      <c r="B654" s="4"/>
      <c r="C654" s="4"/>
      <c r="D654" s="4"/>
      <c r="E654" s="4"/>
    </row>
    <row r="655">
      <c r="A655" s="4"/>
      <c r="B655" s="4"/>
      <c r="C655" s="4"/>
      <c r="D655" s="4"/>
      <c r="E655" s="4"/>
    </row>
    <row r="656">
      <c r="A656" s="4"/>
      <c r="B656" s="4"/>
      <c r="C656" s="4"/>
      <c r="D656" s="4"/>
      <c r="E656" s="4"/>
    </row>
    <row r="657">
      <c r="A657" s="4"/>
      <c r="B657" s="4"/>
      <c r="C657" s="4"/>
      <c r="D657" s="4"/>
      <c r="E657" s="4"/>
    </row>
    <row r="658">
      <c r="A658" s="4"/>
      <c r="B658" s="4"/>
      <c r="C658" s="4"/>
      <c r="D658" s="4"/>
      <c r="E658" s="4"/>
    </row>
    <row r="659">
      <c r="A659" s="4"/>
      <c r="B659" s="4"/>
      <c r="C659" s="4"/>
      <c r="D659" s="4"/>
      <c r="E659" s="4"/>
    </row>
    <row r="660">
      <c r="A660" s="4"/>
      <c r="B660" s="4"/>
      <c r="C660" s="4"/>
      <c r="D660" s="4"/>
      <c r="E660" s="4"/>
    </row>
    <row r="661">
      <c r="A661" s="4"/>
      <c r="B661" s="4"/>
      <c r="C661" s="4"/>
      <c r="D661" s="4"/>
      <c r="E661" s="4"/>
    </row>
    <row r="662">
      <c r="A662" s="4"/>
      <c r="B662" s="4"/>
      <c r="C662" s="4"/>
      <c r="D662" s="4"/>
      <c r="E662" s="4"/>
    </row>
    <row r="663">
      <c r="A663" s="4"/>
      <c r="B663" s="4"/>
      <c r="C663" s="4"/>
      <c r="D663" s="4"/>
      <c r="E663" s="4"/>
    </row>
    <row r="664">
      <c r="A664" s="4"/>
      <c r="B664" s="4"/>
      <c r="C664" s="4"/>
      <c r="D664" s="4"/>
      <c r="E664" s="4"/>
    </row>
    <row r="665">
      <c r="A665" s="4"/>
      <c r="B665" s="4"/>
      <c r="C665" s="4"/>
      <c r="D665" s="4"/>
      <c r="E665" s="4"/>
    </row>
    <row r="666">
      <c r="A666" s="4"/>
      <c r="B666" s="4"/>
      <c r="C666" s="4"/>
      <c r="D666" s="4"/>
      <c r="E666" s="4"/>
    </row>
    <row r="667">
      <c r="A667" s="4"/>
      <c r="B667" s="4"/>
      <c r="C667" s="4"/>
      <c r="D667" s="4"/>
      <c r="E667" s="4"/>
    </row>
    <row r="668">
      <c r="A668" s="4"/>
      <c r="B668" s="4"/>
      <c r="C668" s="4"/>
      <c r="D668" s="4"/>
      <c r="E668" s="4"/>
    </row>
    <row r="669">
      <c r="A669" s="4"/>
      <c r="B669" s="4"/>
      <c r="C669" s="4"/>
      <c r="D669" s="4"/>
      <c r="E669" s="4"/>
    </row>
    <row r="670">
      <c r="A670" s="4"/>
      <c r="B670" s="4"/>
      <c r="C670" s="4"/>
      <c r="D670" s="4"/>
      <c r="E670" s="4"/>
    </row>
    <row r="671">
      <c r="A671" s="4"/>
      <c r="B671" s="4"/>
      <c r="C671" s="4"/>
      <c r="D671" s="4"/>
      <c r="E671" s="4"/>
    </row>
    <row r="672">
      <c r="A672" s="4"/>
      <c r="B672" s="4"/>
      <c r="C672" s="4"/>
      <c r="D672" s="4"/>
      <c r="E672" s="4"/>
    </row>
    <row r="673">
      <c r="A673" s="4"/>
      <c r="B673" s="4"/>
      <c r="C673" s="4"/>
      <c r="D673" s="4"/>
      <c r="E673" s="4"/>
    </row>
    <row r="674">
      <c r="A674" s="4"/>
      <c r="B674" s="4"/>
      <c r="C674" s="4"/>
      <c r="D674" s="4"/>
      <c r="E674" s="4"/>
    </row>
    <row r="675">
      <c r="A675" s="4"/>
      <c r="B675" s="4"/>
      <c r="C675" s="4"/>
      <c r="D675" s="4"/>
      <c r="E675" s="4"/>
    </row>
    <row r="676">
      <c r="A676" s="4"/>
      <c r="B676" s="4"/>
      <c r="C676" s="4"/>
      <c r="D676" s="4"/>
      <c r="E676" s="4"/>
    </row>
    <row r="677">
      <c r="A677" s="4"/>
      <c r="B677" s="4"/>
      <c r="C677" s="4"/>
      <c r="D677" s="4"/>
      <c r="E677" s="4"/>
    </row>
    <row r="678">
      <c r="A678" s="4"/>
      <c r="B678" s="4"/>
      <c r="C678" s="4"/>
      <c r="D678" s="4"/>
      <c r="E678" s="4"/>
    </row>
    <row r="679">
      <c r="A679" s="4"/>
      <c r="B679" s="4"/>
      <c r="C679" s="4"/>
      <c r="D679" s="4"/>
      <c r="E679" s="4"/>
    </row>
    <row r="680">
      <c r="A680" s="4"/>
      <c r="B680" s="4"/>
      <c r="C680" s="4"/>
      <c r="D680" s="4"/>
      <c r="E680" s="4"/>
    </row>
    <row r="681">
      <c r="A681" s="4"/>
      <c r="B681" s="4"/>
      <c r="C681" s="4"/>
      <c r="D681" s="4"/>
      <c r="E681" s="4"/>
    </row>
    <row r="682">
      <c r="A682" s="4"/>
      <c r="B682" s="4"/>
      <c r="C682" s="4"/>
      <c r="D682" s="4"/>
      <c r="E682" s="4"/>
    </row>
    <row r="683">
      <c r="A683" s="4"/>
      <c r="B683" s="4"/>
      <c r="C683" s="4"/>
      <c r="D683" s="4"/>
      <c r="E683" s="4"/>
    </row>
    <row r="684">
      <c r="A684" s="4"/>
      <c r="B684" s="4"/>
      <c r="C684" s="4"/>
      <c r="D684" s="4"/>
      <c r="E684" s="4"/>
    </row>
    <row r="685">
      <c r="A685" s="4"/>
      <c r="B685" s="4"/>
      <c r="C685" s="4"/>
      <c r="D685" s="4"/>
      <c r="E685" s="4"/>
    </row>
    <row r="686">
      <c r="A686" s="4"/>
      <c r="B686" s="4"/>
      <c r="C686" s="4"/>
      <c r="D686" s="4"/>
      <c r="E686" s="4"/>
    </row>
    <row r="687">
      <c r="A687" s="4"/>
      <c r="B687" s="4"/>
      <c r="C687" s="4"/>
      <c r="D687" s="4"/>
      <c r="E687" s="4"/>
    </row>
    <row r="688">
      <c r="A688" s="4"/>
      <c r="B688" s="4"/>
      <c r="C688" s="4"/>
      <c r="D688" s="4"/>
      <c r="E688" s="4"/>
    </row>
    <row r="689">
      <c r="A689" s="4"/>
      <c r="B689" s="4"/>
      <c r="C689" s="4"/>
      <c r="D689" s="4"/>
      <c r="E689" s="4"/>
    </row>
    <row r="690">
      <c r="A690" s="4"/>
      <c r="B690" s="4"/>
      <c r="C690" s="4"/>
      <c r="D690" s="4"/>
      <c r="E690" s="4"/>
    </row>
    <row r="691">
      <c r="A691" s="4"/>
      <c r="B691" s="4"/>
      <c r="C691" s="4"/>
      <c r="D691" s="4"/>
      <c r="E691" s="4"/>
    </row>
    <row r="692">
      <c r="A692" s="4"/>
      <c r="B692" s="4"/>
      <c r="C692" s="4"/>
      <c r="D692" s="4"/>
      <c r="E692" s="4"/>
    </row>
    <row r="693">
      <c r="A693" s="4"/>
      <c r="B693" s="4"/>
      <c r="C693" s="4"/>
      <c r="D693" s="4"/>
      <c r="E693" s="4"/>
    </row>
    <row r="694">
      <c r="A694" s="4"/>
      <c r="B694" s="4"/>
      <c r="C694" s="4"/>
      <c r="D694" s="4"/>
      <c r="E694" s="4"/>
    </row>
    <row r="695">
      <c r="A695" s="4"/>
      <c r="B695" s="4"/>
      <c r="C695" s="4"/>
      <c r="D695" s="4"/>
      <c r="E695" s="4"/>
    </row>
    <row r="696">
      <c r="A696" s="4"/>
      <c r="B696" s="4"/>
      <c r="C696" s="4"/>
      <c r="D696" s="4"/>
      <c r="E696" s="4"/>
    </row>
    <row r="697">
      <c r="A697" s="4"/>
      <c r="B697" s="4"/>
      <c r="C697" s="4"/>
      <c r="D697" s="4"/>
      <c r="E697" s="4"/>
    </row>
    <row r="698">
      <c r="A698" s="4"/>
      <c r="B698" s="4"/>
      <c r="C698" s="4"/>
      <c r="D698" s="4"/>
      <c r="E698" s="4"/>
    </row>
    <row r="699">
      <c r="A699" s="4"/>
      <c r="B699" s="4"/>
      <c r="C699" s="4"/>
      <c r="D699" s="4"/>
      <c r="E699" s="4"/>
    </row>
    <row r="700">
      <c r="A700" s="4"/>
      <c r="B700" s="4"/>
      <c r="C700" s="4"/>
      <c r="D700" s="4"/>
      <c r="E700" s="4"/>
    </row>
    <row r="701">
      <c r="A701" s="4"/>
      <c r="B701" s="4"/>
      <c r="C701" s="4"/>
      <c r="D701" s="4"/>
      <c r="E701" s="4"/>
    </row>
    <row r="702">
      <c r="A702" s="4"/>
      <c r="B702" s="4"/>
      <c r="C702" s="4"/>
      <c r="D702" s="4"/>
      <c r="E702" s="4"/>
    </row>
    <row r="703">
      <c r="A703" s="4"/>
      <c r="B703" s="4"/>
      <c r="C703" s="4"/>
      <c r="D703" s="4"/>
      <c r="E703" s="4"/>
    </row>
    <row r="704">
      <c r="A704" s="4"/>
      <c r="B704" s="4"/>
      <c r="C704" s="4"/>
      <c r="D704" s="4"/>
      <c r="E704" s="4"/>
    </row>
    <row r="705">
      <c r="A705" s="4"/>
      <c r="B705" s="4"/>
      <c r="C705" s="4"/>
      <c r="D705" s="4"/>
      <c r="E705" s="4"/>
    </row>
    <row r="706">
      <c r="A706" s="4"/>
      <c r="B706" s="4"/>
      <c r="C706" s="4"/>
      <c r="D706" s="4"/>
      <c r="E706" s="4"/>
    </row>
    <row r="707">
      <c r="A707" s="4"/>
      <c r="B707" s="4"/>
      <c r="C707" s="4"/>
      <c r="D707" s="4"/>
      <c r="E707" s="4"/>
    </row>
    <row r="708">
      <c r="A708" s="4"/>
      <c r="B708" s="4"/>
      <c r="C708" s="4"/>
      <c r="D708" s="4"/>
      <c r="E708" s="4"/>
    </row>
    <row r="709">
      <c r="A709" s="4"/>
      <c r="B709" s="4"/>
      <c r="C709" s="4"/>
      <c r="D709" s="4"/>
      <c r="E709" s="4"/>
    </row>
    <row r="710">
      <c r="A710" s="4"/>
      <c r="B710" s="4"/>
      <c r="C710" s="4"/>
      <c r="D710" s="4"/>
      <c r="E710" s="4"/>
    </row>
    <row r="711">
      <c r="A711" s="4"/>
      <c r="B711" s="4"/>
      <c r="C711" s="4"/>
      <c r="D711" s="4"/>
      <c r="E711" s="4"/>
    </row>
    <row r="712">
      <c r="A712" s="4"/>
      <c r="B712" s="4"/>
      <c r="C712" s="4"/>
      <c r="D712" s="4"/>
      <c r="E712" s="4"/>
    </row>
    <row r="713">
      <c r="A713" s="4"/>
      <c r="B713" s="4"/>
      <c r="C713" s="4"/>
      <c r="D713" s="4"/>
      <c r="E713" s="4"/>
    </row>
    <row r="714">
      <c r="A714" s="4"/>
      <c r="B714" s="4"/>
      <c r="C714" s="4"/>
      <c r="D714" s="4"/>
      <c r="E714" s="4"/>
    </row>
    <row r="715">
      <c r="A715" s="4"/>
      <c r="B715" s="4"/>
      <c r="C715" s="4"/>
      <c r="D715" s="4"/>
      <c r="E715" s="4"/>
    </row>
    <row r="716">
      <c r="A716" s="4"/>
      <c r="B716" s="4"/>
      <c r="C716" s="4"/>
      <c r="D716" s="4"/>
      <c r="E716" s="4"/>
    </row>
    <row r="717">
      <c r="A717" s="4"/>
      <c r="B717" s="4"/>
      <c r="C717" s="4"/>
      <c r="D717" s="4"/>
      <c r="E717" s="4"/>
    </row>
    <row r="718">
      <c r="A718" s="4"/>
      <c r="B718" s="4"/>
      <c r="C718" s="4"/>
      <c r="D718" s="4"/>
      <c r="E718" s="4"/>
    </row>
    <row r="719">
      <c r="A719" s="4"/>
      <c r="B719" s="4"/>
      <c r="C719" s="4"/>
      <c r="D719" s="4"/>
      <c r="E719" s="4"/>
    </row>
    <row r="720">
      <c r="A720" s="4"/>
      <c r="B720" s="4"/>
      <c r="C720" s="4"/>
      <c r="D720" s="4"/>
      <c r="E720" s="4"/>
    </row>
    <row r="721">
      <c r="A721" s="4"/>
      <c r="B721" s="4"/>
      <c r="C721" s="4"/>
      <c r="D721" s="4"/>
      <c r="E721" s="4"/>
    </row>
    <row r="722">
      <c r="A722" s="4"/>
      <c r="B722" s="4"/>
      <c r="C722" s="4"/>
      <c r="D722" s="4"/>
      <c r="E722" s="4"/>
    </row>
    <row r="723">
      <c r="A723" s="4"/>
      <c r="B723" s="4"/>
      <c r="C723" s="4"/>
      <c r="D723" s="4"/>
      <c r="E723" s="4"/>
    </row>
    <row r="724">
      <c r="A724" s="4"/>
      <c r="B724" s="4"/>
      <c r="C724" s="4"/>
      <c r="D724" s="4"/>
      <c r="E724" s="4"/>
    </row>
    <row r="725">
      <c r="A725" s="4"/>
      <c r="B725" s="4"/>
      <c r="C725" s="4"/>
      <c r="D725" s="4"/>
      <c r="E725" s="4"/>
    </row>
    <row r="726">
      <c r="A726" s="4"/>
      <c r="B726" s="4"/>
      <c r="C726" s="4"/>
      <c r="D726" s="4"/>
      <c r="E726" s="4"/>
    </row>
    <row r="727">
      <c r="A727" s="4"/>
      <c r="B727" s="4"/>
      <c r="C727" s="4"/>
      <c r="D727" s="4"/>
      <c r="E727" s="4"/>
    </row>
    <row r="728">
      <c r="A728" s="4"/>
      <c r="B728" s="4"/>
      <c r="C728" s="4"/>
      <c r="D728" s="4"/>
      <c r="E728" s="4"/>
    </row>
    <row r="729">
      <c r="A729" s="4"/>
      <c r="B729" s="4"/>
      <c r="C729" s="4"/>
      <c r="D729" s="4"/>
      <c r="E729" s="4"/>
    </row>
    <row r="730">
      <c r="A730" s="4"/>
      <c r="B730" s="4"/>
      <c r="C730" s="4"/>
      <c r="D730" s="4"/>
      <c r="E730" s="4"/>
    </row>
    <row r="731">
      <c r="A731" s="4"/>
      <c r="B731" s="4"/>
      <c r="C731" s="4"/>
      <c r="D731" s="4"/>
      <c r="E731" s="4"/>
    </row>
    <row r="732">
      <c r="A732" s="4"/>
      <c r="B732" s="4"/>
      <c r="C732" s="4"/>
      <c r="D732" s="4"/>
      <c r="E732" s="4"/>
    </row>
    <row r="733">
      <c r="A733" s="4"/>
      <c r="B733" s="4"/>
      <c r="C733" s="4"/>
      <c r="D733" s="4"/>
      <c r="E733" s="4"/>
    </row>
    <row r="734">
      <c r="A734" s="4"/>
      <c r="B734" s="4"/>
      <c r="C734" s="4"/>
      <c r="D734" s="4"/>
      <c r="E734" s="4"/>
    </row>
    <row r="735">
      <c r="A735" s="4"/>
      <c r="B735" s="4"/>
      <c r="C735" s="4"/>
      <c r="D735" s="4"/>
      <c r="E735" s="4"/>
    </row>
    <row r="736">
      <c r="A736" s="4"/>
      <c r="B736" s="4"/>
      <c r="C736" s="4"/>
      <c r="D736" s="4"/>
      <c r="E736" s="4"/>
    </row>
    <row r="737">
      <c r="A737" s="4"/>
      <c r="B737" s="4"/>
      <c r="C737" s="4"/>
      <c r="D737" s="4"/>
      <c r="E737" s="4"/>
    </row>
    <row r="738">
      <c r="A738" s="4"/>
      <c r="B738" s="4"/>
      <c r="C738" s="4"/>
      <c r="D738" s="4"/>
      <c r="E738" s="4"/>
    </row>
    <row r="739">
      <c r="A739" s="4"/>
      <c r="B739" s="4"/>
      <c r="C739" s="4"/>
      <c r="D739" s="4"/>
      <c r="E739" s="4"/>
    </row>
    <row r="740">
      <c r="A740" s="4"/>
      <c r="B740" s="4"/>
      <c r="C740" s="4"/>
      <c r="D740" s="4"/>
      <c r="E740" s="4"/>
    </row>
    <row r="741">
      <c r="A741" s="4"/>
      <c r="B741" s="4"/>
      <c r="C741" s="4"/>
      <c r="D741" s="4"/>
      <c r="E741" s="4"/>
    </row>
    <row r="742">
      <c r="A742" s="4"/>
      <c r="B742" s="4"/>
      <c r="C742" s="4"/>
      <c r="D742" s="4"/>
      <c r="E742" s="4"/>
    </row>
    <row r="743">
      <c r="A743" s="4"/>
      <c r="B743" s="4"/>
      <c r="C743" s="4"/>
      <c r="D743" s="4"/>
      <c r="E743" s="4"/>
    </row>
    <row r="744">
      <c r="A744" s="4"/>
      <c r="B744" s="4"/>
      <c r="C744" s="4"/>
      <c r="D744" s="4"/>
      <c r="E744" s="4"/>
    </row>
    <row r="745">
      <c r="A745" s="4"/>
      <c r="B745" s="4"/>
      <c r="C745" s="4"/>
      <c r="D745" s="4"/>
      <c r="E745" s="4"/>
    </row>
    <row r="746">
      <c r="A746" s="4"/>
      <c r="B746" s="4"/>
      <c r="C746" s="4"/>
      <c r="D746" s="4"/>
      <c r="E746" s="4"/>
    </row>
    <row r="747">
      <c r="A747" s="4"/>
      <c r="B747" s="4"/>
      <c r="C747" s="4"/>
      <c r="D747" s="4"/>
      <c r="E747" s="4"/>
    </row>
    <row r="748">
      <c r="A748" s="4"/>
      <c r="B748" s="4"/>
      <c r="C748" s="4"/>
      <c r="D748" s="4"/>
      <c r="E748" s="4"/>
    </row>
    <row r="749">
      <c r="A749" s="4"/>
      <c r="B749" s="4"/>
      <c r="C749" s="4"/>
      <c r="D749" s="4"/>
      <c r="E749" s="4"/>
    </row>
    <row r="750">
      <c r="A750" s="4"/>
      <c r="B750" s="4"/>
      <c r="C750" s="4"/>
      <c r="D750" s="4"/>
      <c r="E750" s="4"/>
    </row>
    <row r="751">
      <c r="A751" s="4"/>
      <c r="B751" s="4"/>
      <c r="C751" s="4"/>
      <c r="D751" s="4"/>
      <c r="E751" s="4"/>
    </row>
    <row r="752">
      <c r="A752" s="4"/>
      <c r="B752" s="4"/>
      <c r="C752" s="4"/>
      <c r="D752" s="4"/>
      <c r="E752" s="4"/>
    </row>
    <row r="753">
      <c r="A753" s="4"/>
      <c r="B753" s="4"/>
      <c r="C753" s="4"/>
      <c r="D753" s="4"/>
      <c r="E753" s="4"/>
    </row>
    <row r="754">
      <c r="A754" s="4"/>
      <c r="B754" s="4"/>
      <c r="C754" s="4"/>
      <c r="D754" s="4"/>
      <c r="E754" s="4"/>
    </row>
    <row r="755">
      <c r="A755" s="4"/>
      <c r="B755" s="4"/>
      <c r="C755" s="4"/>
      <c r="D755" s="4"/>
      <c r="E755" s="4"/>
    </row>
    <row r="756">
      <c r="A756" s="4"/>
      <c r="B756" s="4"/>
      <c r="C756" s="4"/>
      <c r="D756" s="4"/>
      <c r="E756" s="4"/>
    </row>
    <row r="757">
      <c r="A757" s="4"/>
      <c r="B757" s="4"/>
      <c r="C757" s="4"/>
      <c r="D757" s="4"/>
      <c r="E757" s="4"/>
    </row>
    <row r="758">
      <c r="A758" s="4"/>
      <c r="B758" s="4"/>
      <c r="C758" s="4"/>
      <c r="D758" s="4"/>
      <c r="E758" s="4"/>
    </row>
    <row r="759">
      <c r="A759" s="4"/>
      <c r="B759" s="4"/>
      <c r="C759" s="4"/>
      <c r="D759" s="4"/>
      <c r="E759" s="4"/>
    </row>
    <row r="760">
      <c r="A760" s="4"/>
      <c r="B760" s="4"/>
      <c r="C760" s="4"/>
      <c r="D760" s="4"/>
      <c r="E760" s="4"/>
    </row>
    <row r="761">
      <c r="A761" s="4"/>
      <c r="B761" s="4"/>
      <c r="C761" s="4"/>
      <c r="D761" s="4"/>
      <c r="E761" s="4"/>
    </row>
    <row r="762">
      <c r="A762" s="4"/>
      <c r="B762" s="4"/>
      <c r="C762" s="4"/>
      <c r="D762" s="4"/>
      <c r="E762" s="4"/>
    </row>
    <row r="763">
      <c r="A763" s="4"/>
      <c r="B763" s="4"/>
      <c r="C763" s="4"/>
      <c r="D763" s="4"/>
      <c r="E763" s="4"/>
    </row>
    <row r="764">
      <c r="A764" s="4"/>
      <c r="B764" s="4"/>
      <c r="C764" s="4"/>
      <c r="D764" s="4"/>
      <c r="E764" s="4"/>
    </row>
    <row r="765">
      <c r="A765" s="4"/>
      <c r="B765" s="4"/>
      <c r="C765" s="4"/>
      <c r="D765" s="4"/>
      <c r="E765" s="4"/>
    </row>
    <row r="766">
      <c r="A766" s="4"/>
      <c r="B766" s="4"/>
      <c r="C766" s="4"/>
      <c r="D766" s="4"/>
      <c r="E766" s="4"/>
    </row>
    <row r="767">
      <c r="A767" s="4"/>
      <c r="B767" s="4"/>
      <c r="C767" s="4"/>
      <c r="D767" s="4"/>
      <c r="E767" s="4"/>
    </row>
    <row r="768">
      <c r="A768" s="4"/>
      <c r="B768" s="4"/>
      <c r="C768" s="4"/>
      <c r="D768" s="4"/>
      <c r="E768" s="4"/>
    </row>
    <row r="769">
      <c r="A769" s="4"/>
      <c r="B769" s="4"/>
      <c r="C769" s="4"/>
      <c r="D769" s="4"/>
      <c r="E769" s="4"/>
    </row>
    <row r="770">
      <c r="A770" s="4"/>
      <c r="B770" s="4"/>
      <c r="C770" s="4"/>
      <c r="D770" s="4"/>
      <c r="E770" s="4"/>
    </row>
    <row r="771">
      <c r="A771" s="4"/>
      <c r="B771" s="4"/>
      <c r="C771" s="4"/>
      <c r="D771" s="4"/>
      <c r="E771" s="4"/>
    </row>
    <row r="772">
      <c r="A772" s="4"/>
      <c r="B772" s="4"/>
      <c r="C772" s="4"/>
      <c r="D772" s="4"/>
      <c r="E772" s="4"/>
    </row>
    <row r="773">
      <c r="A773" s="4"/>
      <c r="B773" s="4"/>
      <c r="C773" s="4"/>
      <c r="D773" s="4"/>
      <c r="E773" s="4"/>
    </row>
    <row r="774">
      <c r="A774" s="4"/>
      <c r="B774" s="4"/>
      <c r="C774" s="4"/>
      <c r="D774" s="4"/>
      <c r="E774" s="4"/>
    </row>
    <row r="775">
      <c r="A775" s="4"/>
      <c r="B775" s="4"/>
      <c r="C775" s="4"/>
      <c r="D775" s="4"/>
      <c r="E775" s="4"/>
    </row>
    <row r="776">
      <c r="A776" s="4"/>
      <c r="B776" s="4"/>
      <c r="C776" s="4"/>
      <c r="D776" s="4"/>
      <c r="E776" s="4"/>
    </row>
    <row r="777">
      <c r="A777" s="4"/>
      <c r="B777" s="4"/>
      <c r="C777" s="4"/>
      <c r="D777" s="4"/>
      <c r="E777" s="4"/>
    </row>
    <row r="778">
      <c r="A778" s="4"/>
      <c r="B778" s="4"/>
      <c r="C778" s="4"/>
      <c r="D778" s="4"/>
      <c r="E778" s="4"/>
    </row>
    <row r="779">
      <c r="A779" s="4"/>
      <c r="B779" s="4"/>
      <c r="C779" s="4"/>
      <c r="D779" s="4"/>
      <c r="E779" s="4"/>
    </row>
    <row r="780">
      <c r="A780" s="4"/>
      <c r="B780" s="4"/>
      <c r="C780" s="4"/>
      <c r="D780" s="4"/>
      <c r="E780" s="4"/>
    </row>
    <row r="781">
      <c r="A781" s="4"/>
      <c r="B781" s="4"/>
      <c r="C781" s="4"/>
      <c r="D781" s="4"/>
      <c r="E781" s="4"/>
    </row>
    <row r="782">
      <c r="A782" s="4"/>
      <c r="B782" s="4"/>
      <c r="C782" s="4"/>
      <c r="D782" s="4"/>
      <c r="E782" s="4"/>
    </row>
    <row r="783">
      <c r="A783" s="4"/>
      <c r="B783" s="4"/>
      <c r="C783" s="4"/>
      <c r="D783" s="4"/>
      <c r="E783" s="4"/>
    </row>
    <row r="784">
      <c r="A784" s="4"/>
      <c r="B784" s="4"/>
      <c r="C784" s="4"/>
      <c r="D784" s="4"/>
      <c r="E784" s="4"/>
    </row>
    <row r="785">
      <c r="A785" s="4"/>
      <c r="B785" s="4"/>
      <c r="C785" s="4"/>
      <c r="D785" s="4"/>
      <c r="E785" s="4"/>
    </row>
    <row r="786">
      <c r="A786" s="4"/>
      <c r="B786" s="4"/>
      <c r="C786" s="4"/>
      <c r="D786" s="4"/>
      <c r="E786" s="4"/>
    </row>
    <row r="787">
      <c r="A787" s="4"/>
      <c r="B787" s="4"/>
      <c r="C787" s="4"/>
      <c r="D787" s="4"/>
      <c r="E787" s="4"/>
    </row>
    <row r="788">
      <c r="A788" s="4"/>
      <c r="B788" s="4"/>
      <c r="C788" s="4"/>
      <c r="D788" s="4"/>
      <c r="E788" s="4"/>
    </row>
    <row r="789">
      <c r="A789" s="4"/>
      <c r="B789" s="4"/>
      <c r="C789" s="4"/>
      <c r="D789" s="4"/>
      <c r="E789" s="4"/>
    </row>
    <row r="790">
      <c r="A790" s="4"/>
      <c r="B790" s="4"/>
      <c r="C790" s="4"/>
      <c r="D790" s="4"/>
      <c r="E790" s="4"/>
    </row>
    <row r="791">
      <c r="A791" s="4"/>
      <c r="B791" s="4"/>
      <c r="C791" s="4"/>
      <c r="D791" s="4"/>
      <c r="E791" s="4"/>
    </row>
    <row r="792">
      <c r="A792" s="4"/>
      <c r="B792" s="4"/>
      <c r="C792" s="4"/>
      <c r="D792" s="4"/>
      <c r="E792" s="4"/>
    </row>
    <row r="793">
      <c r="A793" s="4"/>
      <c r="B793" s="4"/>
      <c r="C793" s="4"/>
      <c r="D793" s="4"/>
      <c r="E793" s="4"/>
    </row>
    <row r="794">
      <c r="A794" s="4"/>
      <c r="B794" s="4"/>
      <c r="C794" s="4"/>
      <c r="D794" s="4"/>
      <c r="E794" s="4"/>
    </row>
    <row r="795">
      <c r="A795" s="4"/>
      <c r="B795" s="4"/>
      <c r="C795" s="4"/>
      <c r="D795" s="4"/>
      <c r="E795" s="4"/>
    </row>
    <row r="796">
      <c r="A796" s="4"/>
      <c r="B796" s="4"/>
      <c r="C796" s="4"/>
      <c r="D796" s="4"/>
      <c r="E796" s="4"/>
    </row>
    <row r="797">
      <c r="A797" s="4"/>
      <c r="B797" s="4"/>
      <c r="C797" s="4"/>
      <c r="D797" s="4"/>
      <c r="E797" s="4"/>
    </row>
    <row r="798">
      <c r="A798" s="4"/>
      <c r="B798" s="4"/>
      <c r="C798" s="4"/>
      <c r="D798" s="4"/>
      <c r="E798" s="4"/>
    </row>
    <row r="799">
      <c r="A799" s="4"/>
      <c r="B799" s="4"/>
      <c r="C799" s="4"/>
      <c r="D799" s="4"/>
      <c r="E799" s="4"/>
    </row>
    <row r="800">
      <c r="A800" s="4"/>
      <c r="B800" s="4"/>
      <c r="C800" s="4"/>
      <c r="D800" s="4"/>
      <c r="E800" s="4"/>
    </row>
    <row r="801">
      <c r="A801" s="4"/>
      <c r="B801" s="4"/>
      <c r="C801" s="4"/>
      <c r="D801" s="4"/>
      <c r="E801" s="4"/>
    </row>
    <row r="802">
      <c r="A802" s="4"/>
      <c r="B802" s="4"/>
      <c r="C802" s="4"/>
      <c r="D802" s="4"/>
      <c r="E802" s="4"/>
    </row>
    <row r="803">
      <c r="A803" s="4"/>
      <c r="B803" s="4"/>
      <c r="C803" s="4"/>
      <c r="D803" s="4"/>
      <c r="E803" s="4"/>
    </row>
    <row r="804">
      <c r="A804" s="4"/>
      <c r="B804" s="4"/>
      <c r="C804" s="4"/>
      <c r="D804" s="4"/>
      <c r="E804" s="4"/>
    </row>
    <row r="805">
      <c r="A805" s="4"/>
      <c r="B805" s="4"/>
      <c r="C805" s="4"/>
      <c r="D805" s="4"/>
      <c r="E805" s="4"/>
    </row>
    <row r="806">
      <c r="A806" s="4"/>
      <c r="B806" s="4"/>
      <c r="C806" s="4"/>
      <c r="D806" s="4"/>
      <c r="E806" s="4"/>
    </row>
    <row r="807">
      <c r="A807" s="4"/>
      <c r="B807" s="4"/>
      <c r="C807" s="4"/>
      <c r="D807" s="4"/>
      <c r="E807" s="4"/>
    </row>
    <row r="808">
      <c r="A808" s="4"/>
      <c r="B808" s="4"/>
      <c r="C808" s="4"/>
      <c r="D808" s="4"/>
      <c r="E808" s="4"/>
    </row>
    <row r="809">
      <c r="A809" s="4"/>
      <c r="B809" s="4"/>
      <c r="C809" s="4"/>
      <c r="D809" s="4"/>
      <c r="E809" s="4"/>
    </row>
    <row r="810">
      <c r="A810" s="4"/>
      <c r="B810" s="4"/>
      <c r="C810" s="4"/>
      <c r="D810" s="4"/>
      <c r="E810" s="4"/>
    </row>
    <row r="811">
      <c r="A811" s="4"/>
      <c r="B811" s="4"/>
      <c r="C811" s="4"/>
      <c r="D811" s="4"/>
      <c r="E811" s="4"/>
    </row>
    <row r="812">
      <c r="A812" s="4"/>
      <c r="B812" s="4"/>
      <c r="C812" s="4"/>
      <c r="D812" s="4"/>
      <c r="E812" s="4"/>
    </row>
    <row r="813">
      <c r="A813" s="4"/>
      <c r="B813" s="4"/>
      <c r="C813" s="4"/>
      <c r="D813" s="4"/>
      <c r="E813" s="4"/>
    </row>
    <row r="814">
      <c r="A814" s="4"/>
      <c r="B814" s="4"/>
      <c r="C814" s="4"/>
      <c r="D814" s="4"/>
      <c r="E814" s="4"/>
    </row>
    <row r="815">
      <c r="A815" s="4"/>
      <c r="B815" s="4"/>
      <c r="C815" s="4"/>
      <c r="D815" s="4"/>
      <c r="E815" s="4"/>
    </row>
    <row r="816">
      <c r="A816" s="4"/>
      <c r="B816" s="4"/>
      <c r="C816" s="4"/>
      <c r="D816" s="4"/>
      <c r="E816" s="4"/>
    </row>
    <row r="817">
      <c r="A817" s="4"/>
      <c r="B817" s="4"/>
      <c r="C817" s="4"/>
      <c r="D817" s="4"/>
      <c r="E817" s="4"/>
    </row>
    <row r="818">
      <c r="A818" s="4"/>
      <c r="B818" s="4"/>
      <c r="C818" s="4"/>
      <c r="D818" s="4"/>
      <c r="E818" s="4"/>
    </row>
    <row r="819">
      <c r="A819" s="4"/>
      <c r="B819" s="4"/>
      <c r="C819" s="4"/>
      <c r="D819" s="4"/>
      <c r="E819" s="4"/>
    </row>
    <row r="820">
      <c r="A820" s="4"/>
      <c r="B820" s="4"/>
      <c r="C820" s="4"/>
      <c r="D820" s="4"/>
      <c r="E820" s="4"/>
    </row>
    <row r="821">
      <c r="A821" s="4"/>
      <c r="B821" s="4"/>
      <c r="C821" s="4"/>
      <c r="D821" s="4"/>
      <c r="E821" s="4"/>
    </row>
    <row r="822">
      <c r="A822" s="4"/>
      <c r="B822" s="4"/>
      <c r="C822" s="4"/>
      <c r="D822" s="4"/>
      <c r="E822" s="4"/>
    </row>
    <row r="823">
      <c r="A823" s="4"/>
      <c r="B823" s="4"/>
      <c r="C823" s="4"/>
      <c r="D823" s="4"/>
      <c r="E823" s="4"/>
    </row>
    <row r="824">
      <c r="A824" s="4"/>
      <c r="B824" s="4"/>
      <c r="C824" s="4"/>
      <c r="D824" s="4"/>
      <c r="E824" s="4"/>
    </row>
    <row r="825">
      <c r="A825" s="4"/>
      <c r="B825" s="4"/>
      <c r="C825" s="4"/>
      <c r="D825" s="4"/>
      <c r="E825" s="4"/>
    </row>
    <row r="826">
      <c r="A826" s="4"/>
      <c r="B826" s="4"/>
      <c r="C826" s="4"/>
      <c r="D826" s="4"/>
      <c r="E826" s="4"/>
    </row>
    <row r="827">
      <c r="A827" s="4"/>
      <c r="B827" s="4"/>
      <c r="C827" s="4"/>
      <c r="D827" s="4"/>
      <c r="E827" s="4"/>
    </row>
    <row r="828">
      <c r="A828" s="4"/>
      <c r="B828" s="4"/>
      <c r="C828" s="4"/>
      <c r="D828" s="4"/>
      <c r="E828" s="4"/>
    </row>
    <row r="829">
      <c r="A829" s="4"/>
      <c r="B829" s="4"/>
      <c r="C829" s="4"/>
      <c r="D829" s="4"/>
      <c r="E829" s="4"/>
    </row>
    <row r="830">
      <c r="A830" s="4"/>
      <c r="B830" s="4"/>
      <c r="C830" s="4"/>
      <c r="D830" s="4"/>
      <c r="E830" s="4"/>
    </row>
    <row r="831">
      <c r="A831" s="4"/>
      <c r="B831" s="4"/>
      <c r="C831" s="4"/>
      <c r="D831" s="4"/>
      <c r="E831" s="4"/>
    </row>
    <row r="832">
      <c r="A832" s="4"/>
      <c r="B832" s="4"/>
      <c r="C832" s="4"/>
      <c r="D832" s="4"/>
      <c r="E832" s="4"/>
    </row>
    <row r="833">
      <c r="A833" s="4"/>
      <c r="B833" s="4"/>
      <c r="C833" s="4"/>
      <c r="D833" s="4"/>
      <c r="E833" s="4"/>
    </row>
    <row r="834">
      <c r="A834" s="4"/>
      <c r="B834" s="4"/>
      <c r="C834" s="4"/>
      <c r="D834" s="4"/>
      <c r="E834" s="4"/>
    </row>
    <row r="835">
      <c r="A835" s="4"/>
      <c r="B835" s="4"/>
      <c r="C835" s="4"/>
      <c r="D835" s="4"/>
      <c r="E835" s="4"/>
    </row>
    <row r="836">
      <c r="A836" s="4"/>
      <c r="B836" s="4"/>
      <c r="C836" s="4"/>
      <c r="D836" s="4"/>
      <c r="E836" s="4"/>
    </row>
    <row r="837">
      <c r="A837" s="4"/>
      <c r="B837" s="4"/>
      <c r="C837" s="4"/>
      <c r="D837" s="4"/>
      <c r="E837" s="4"/>
    </row>
    <row r="838">
      <c r="A838" s="4"/>
      <c r="B838" s="4"/>
      <c r="C838" s="4"/>
      <c r="D838" s="4"/>
      <c r="E838" s="4"/>
    </row>
    <row r="839">
      <c r="A839" s="4"/>
      <c r="B839" s="4"/>
      <c r="C839" s="4"/>
      <c r="D839" s="4"/>
      <c r="E839" s="4"/>
    </row>
    <row r="840">
      <c r="A840" s="4"/>
      <c r="B840" s="4"/>
      <c r="C840" s="4"/>
      <c r="D840" s="4"/>
      <c r="E840" s="4"/>
    </row>
    <row r="841">
      <c r="A841" s="4"/>
      <c r="B841" s="4"/>
      <c r="C841" s="4"/>
      <c r="D841" s="4"/>
      <c r="E841" s="4"/>
    </row>
    <row r="842">
      <c r="A842" s="4"/>
      <c r="B842" s="4"/>
      <c r="C842" s="4"/>
      <c r="D842" s="4"/>
      <c r="E842" s="4"/>
    </row>
    <row r="843">
      <c r="A843" s="4"/>
      <c r="B843" s="4"/>
      <c r="C843" s="4"/>
      <c r="D843" s="4"/>
      <c r="E843" s="4"/>
    </row>
    <row r="844">
      <c r="A844" s="4"/>
      <c r="B844" s="4"/>
      <c r="C844" s="4"/>
      <c r="D844" s="4"/>
      <c r="E844" s="4"/>
    </row>
    <row r="845">
      <c r="A845" s="4"/>
      <c r="B845" s="4"/>
      <c r="C845" s="4"/>
      <c r="D845" s="4"/>
      <c r="E845" s="4"/>
    </row>
    <row r="846">
      <c r="A846" s="4"/>
      <c r="B846" s="4"/>
      <c r="C846" s="4"/>
      <c r="D846" s="4"/>
      <c r="E846" s="4"/>
    </row>
    <row r="847">
      <c r="A847" s="4"/>
      <c r="B847" s="4"/>
      <c r="C847" s="4"/>
      <c r="D847" s="4"/>
      <c r="E847" s="4"/>
    </row>
    <row r="848">
      <c r="A848" s="4"/>
      <c r="B848" s="4"/>
      <c r="C848" s="4"/>
      <c r="D848" s="4"/>
      <c r="E848" s="4"/>
    </row>
    <row r="849">
      <c r="A849" s="4"/>
      <c r="B849" s="4"/>
      <c r="C849" s="4"/>
      <c r="D849" s="4"/>
      <c r="E849" s="4"/>
    </row>
    <row r="850">
      <c r="A850" s="4"/>
      <c r="B850" s="4"/>
      <c r="C850" s="4"/>
      <c r="D850" s="4"/>
      <c r="E850" s="4"/>
    </row>
    <row r="851">
      <c r="A851" s="4"/>
      <c r="B851" s="4"/>
      <c r="C851" s="4"/>
      <c r="D851" s="4"/>
      <c r="E851" s="4"/>
    </row>
    <row r="852">
      <c r="A852" s="4"/>
      <c r="B852" s="4"/>
      <c r="C852" s="4"/>
      <c r="D852" s="4"/>
      <c r="E852" s="4"/>
    </row>
    <row r="853">
      <c r="A853" s="4"/>
      <c r="B853" s="4"/>
      <c r="C853" s="4"/>
      <c r="D853" s="4"/>
      <c r="E853" s="4"/>
    </row>
    <row r="854">
      <c r="A854" s="4"/>
      <c r="B854" s="4"/>
      <c r="C854" s="4"/>
      <c r="D854" s="4"/>
      <c r="E854" s="4"/>
    </row>
    <row r="855">
      <c r="A855" s="4"/>
      <c r="B855" s="4"/>
      <c r="C855" s="4"/>
      <c r="D855" s="4"/>
      <c r="E855" s="4"/>
    </row>
    <row r="856">
      <c r="A856" s="4"/>
      <c r="B856" s="4"/>
      <c r="C856" s="4"/>
      <c r="D856" s="4"/>
      <c r="E856" s="4"/>
    </row>
    <row r="857">
      <c r="A857" s="4"/>
      <c r="B857" s="4"/>
      <c r="C857" s="4"/>
      <c r="D857" s="4"/>
      <c r="E857" s="4"/>
    </row>
    <row r="858">
      <c r="A858" s="4"/>
      <c r="B858" s="4"/>
      <c r="C858" s="4"/>
      <c r="D858" s="4"/>
      <c r="E858" s="4"/>
    </row>
    <row r="859">
      <c r="A859" s="4"/>
      <c r="B859" s="4"/>
      <c r="C859" s="4"/>
      <c r="D859" s="4"/>
      <c r="E859" s="4"/>
    </row>
    <row r="860">
      <c r="A860" s="4"/>
      <c r="B860" s="4"/>
      <c r="C860" s="4"/>
      <c r="D860" s="4"/>
      <c r="E860" s="4"/>
    </row>
    <row r="861">
      <c r="A861" s="4"/>
      <c r="B861" s="4"/>
      <c r="C861" s="4"/>
      <c r="D861" s="4"/>
      <c r="E861" s="4"/>
    </row>
    <row r="862">
      <c r="A862" s="4"/>
      <c r="B862" s="4"/>
      <c r="C862" s="4"/>
      <c r="D862" s="4"/>
      <c r="E862" s="4"/>
    </row>
    <row r="863">
      <c r="A863" s="4"/>
      <c r="B863" s="4"/>
      <c r="C863" s="4"/>
      <c r="D863" s="4"/>
      <c r="E863" s="4"/>
    </row>
    <row r="864">
      <c r="A864" s="4"/>
      <c r="B864" s="4"/>
      <c r="C864" s="4"/>
      <c r="D864" s="4"/>
      <c r="E864" s="4"/>
    </row>
    <row r="865">
      <c r="A865" s="4"/>
      <c r="B865" s="4"/>
      <c r="C865" s="4"/>
      <c r="D865" s="4"/>
      <c r="E865" s="4"/>
    </row>
    <row r="866">
      <c r="A866" s="4"/>
      <c r="B866" s="4"/>
      <c r="C866" s="4"/>
      <c r="D866" s="4"/>
      <c r="E866" s="4"/>
    </row>
    <row r="867">
      <c r="A867" s="4"/>
      <c r="B867" s="4"/>
      <c r="C867" s="4"/>
      <c r="D867" s="4"/>
      <c r="E867" s="4"/>
    </row>
    <row r="868">
      <c r="A868" s="4"/>
      <c r="B868" s="4"/>
      <c r="C868" s="4"/>
      <c r="D868" s="4"/>
      <c r="E868" s="4"/>
    </row>
    <row r="869">
      <c r="A869" s="4"/>
      <c r="B869" s="4"/>
      <c r="C869" s="4"/>
      <c r="D869" s="4"/>
      <c r="E869" s="4"/>
    </row>
    <row r="870">
      <c r="A870" s="4"/>
      <c r="B870" s="4"/>
      <c r="C870" s="4"/>
      <c r="D870" s="4"/>
      <c r="E870" s="4"/>
    </row>
    <row r="871">
      <c r="A871" s="4"/>
      <c r="B871" s="4"/>
      <c r="C871" s="4"/>
      <c r="D871" s="4"/>
      <c r="E871" s="4"/>
    </row>
    <row r="872">
      <c r="A872" s="4"/>
      <c r="B872" s="4"/>
      <c r="C872" s="4"/>
      <c r="D872" s="4"/>
      <c r="E872" s="4"/>
    </row>
    <row r="873">
      <c r="A873" s="4"/>
      <c r="B873" s="4"/>
      <c r="C873" s="4"/>
      <c r="D873" s="4"/>
      <c r="E873" s="4"/>
    </row>
    <row r="874">
      <c r="A874" s="4"/>
      <c r="B874" s="4"/>
      <c r="C874" s="4"/>
      <c r="D874" s="4"/>
      <c r="E874" s="4"/>
    </row>
    <row r="875">
      <c r="A875" s="4"/>
      <c r="B875" s="4"/>
      <c r="C875" s="4"/>
      <c r="D875" s="4"/>
      <c r="E875" s="4"/>
    </row>
    <row r="876">
      <c r="A876" s="4"/>
      <c r="B876" s="4"/>
      <c r="C876" s="4"/>
      <c r="D876" s="4"/>
      <c r="E876" s="4"/>
    </row>
    <row r="877">
      <c r="A877" s="4"/>
      <c r="B877" s="4"/>
      <c r="C877" s="4"/>
      <c r="D877" s="4"/>
      <c r="E877" s="4"/>
    </row>
    <row r="878">
      <c r="A878" s="4"/>
      <c r="B878" s="4"/>
      <c r="C878" s="4"/>
      <c r="D878" s="4"/>
      <c r="E878" s="4"/>
    </row>
    <row r="879">
      <c r="A879" s="4"/>
      <c r="B879" s="4"/>
      <c r="C879" s="4"/>
      <c r="D879" s="4"/>
      <c r="E879" s="4"/>
    </row>
    <row r="880">
      <c r="A880" s="4"/>
      <c r="B880" s="4"/>
      <c r="C880" s="4"/>
      <c r="D880" s="4"/>
      <c r="E880" s="4"/>
    </row>
    <row r="881">
      <c r="A881" s="4"/>
      <c r="B881" s="4"/>
      <c r="C881" s="4"/>
      <c r="D881" s="4"/>
      <c r="E881" s="4"/>
    </row>
    <row r="882">
      <c r="A882" s="4"/>
      <c r="B882" s="4"/>
      <c r="C882" s="4"/>
      <c r="D882" s="4"/>
      <c r="E882" s="4"/>
    </row>
    <row r="883">
      <c r="A883" s="4"/>
      <c r="B883" s="4"/>
      <c r="C883" s="4"/>
      <c r="D883" s="4"/>
      <c r="E883" s="4"/>
    </row>
    <row r="884">
      <c r="A884" s="4"/>
      <c r="B884" s="4"/>
      <c r="C884" s="4"/>
      <c r="D884" s="4"/>
      <c r="E884" s="4"/>
    </row>
    <row r="885">
      <c r="A885" s="4"/>
      <c r="B885" s="4"/>
      <c r="C885" s="4"/>
      <c r="D885" s="4"/>
      <c r="E885" s="4"/>
    </row>
    <row r="886">
      <c r="A886" s="4"/>
      <c r="B886" s="4"/>
      <c r="C886" s="4"/>
      <c r="D886" s="4"/>
      <c r="E886" s="4"/>
    </row>
    <row r="887">
      <c r="A887" s="4"/>
      <c r="B887" s="4"/>
      <c r="C887" s="4"/>
      <c r="D887" s="4"/>
      <c r="E887" s="4"/>
    </row>
    <row r="888">
      <c r="A888" s="4"/>
      <c r="B888" s="4"/>
      <c r="C888" s="4"/>
      <c r="D888" s="4"/>
      <c r="E888" s="4"/>
    </row>
    <row r="889">
      <c r="A889" s="4"/>
      <c r="B889" s="4"/>
      <c r="C889" s="4"/>
      <c r="D889" s="4"/>
      <c r="E889" s="4"/>
    </row>
    <row r="890">
      <c r="A890" s="4"/>
      <c r="B890" s="4"/>
      <c r="C890" s="4"/>
      <c r="D890" s="4"/>
      <c r="E890" s="4"/>
    </row>
    <row r="891">
      <c r="A891" s="4"/>
      <c r="B891" s="4"/>
      <c r="C891" s="4"/>
      <c r="D891" s="4"/>
      <c r="E891" s="4"/>
    </row>
    <row r="892">
      <c r="A892" s="4"/>
      <c r="B892" s="4"/>
      <c r="C892" s="4"/>
      <c r="D892" s="4"/>
      <c r="E892" s="4"/>
    </row>
    <row r="893">
      <c r="A893" s="4"/>
      <c r="B893" s="4"/>
      <c r="C893" s="4"/>
      <c r="D893" s="4"/>
      <c r="E893" s="4"/>
    </row>
    <row r="894">
      <c r="A894" s="4"/>
      <c r="B894" s="4"/>
      <c r="C894" s="4"/>
      <c r="D894" s="4"/>
      <c r="E894" s="4"/>
    </row>
    <row r="895">
      <c r="A895" s="4"/>
      <c r="B895" s="4"/>
      <c r="C895" s="4"/>
      <c r="D895" s="4"/>
      <c r="E895" s="4"/>
    </row>
    <row r="896">
      <c r="A896" s="4"/>
      <c r="B896" s="4"/>
      <c r="C896" s="4"/>
      <c r="D896" s="4"/>
      <c r="E896" s="4"/>
    </row>
    <row r="897">
      <c r="A897" s="4"/>
      <c r="B897" s="4"/>
      <c r="C897" s="4"/>
      <c r="D897" s="4"/>
      <c r="E897" s="4"/>
    </row>
    <row r="898">
      <c r="A898" s="4"/>
      <c r="B898" s="4"/>
      <c r="C898" s="4"/>
      <c r="D898" s="4"/>
      <c r="E898" s="4"/>
    </row>
    <row r="899">
      <c r="A899" s="4"/>
      <c r="B899" s="4"/>
      <c r="C899" s="4"/>
      <c r="D899" s="4"/>
      <c r="E899" s="4"/>
    </row>
    <row r="900">
      <c r="A900" s="4"/>
      <c r="B900" s="4"/>
      <c r="C900" s="4"/>
      <c r="D900" s="4"/>
      <c r="E900" s="4"/>
    </row>
    <row r="901">
      <c r="A901" s="4"/>
      <c r="B901" s="4"/>
      <c r="C901" s="4"/>
      <c r="D901" s="4"/>
      <c r="E901" s="4"/>
    </row>
    <row r="902">
      <c r="A902" s="4"/>
      <c r="B902" s="4"/>
      <c r="C902" s="4"/>
      <c r="D902" s="4"/>
      <c r="E902" s="4"/>
    </row>
    <row r="903">
      <c r="A903" s="4"/>
      <c r="B903" s="4"/>
      <c r="C903" s="4"/>
      <c r="D903" s="4"/>
      <c r="E903" s="4"/>
    </row>
    <row r="904">
      <c r="A904" s="4"/>
      <c r="B904" s="4"/>
      <c r="C904" s="4"/>
      <c r="D904" s="4"/>
      <c r="E904" s="4"/>
    </row>
    <row r="905">
      <c r="A905" s="4"/>
      <c r="B905" s="4"/>
      <c r="C905" s="4"/>
      <c r="D905" s="4"/>
      <c r="E905" s="4"/>
    </row>
    <row r="906">
      <c r="A906" s="4"/>
      <c r="B906" s="4"/>
      <c r="C906" s="4"/>
      <c r="D906" s="4"/>
      <c r="E906" s="4"/>
    </row>
    <row r="907">
      <c r="A907" s="4"/>
      <c r="B907" s="4"/>
      <c r="C907" s="4"/>
      <c r="D907" s="4"/>
      <c r="E907" s="4"/>
    </row>
    <row r="908">
      <c r="A908" s="4"/>
      <c r="B908" s="4"/>
      <c r="C908" s="4"/>
      <c r="D908" s="4"/>
      <c r="E908" s="4"/>
    </row>
    <row r="909">
      <c r="A909" s="4"/>
      <c r="B909" s="4"/>
      <c r="C909" s="4"/>
      <c r="D909" s="4"/>
      <c r="E909" s="4"/>
    </row>
    <row r="910">
      <c r="A910" s="4"/>
      <c r="B910" s="4"/>
      <c r="C910" s="4"/>
      <c r="D910" s="4"/>
      <c r="E910" s="4"/>
    </row>
    <row r="911">
      <c r="A911" s="4"/>
      <c r="B911" s="4"/>
      <c r="C911" s="4"/>
      <c r="D911" s="4"/>
      <c r="E911" s="4"/>
    </row>
    <row r="912">
      <c r="A912" s="4"/>
      <c r="B912" s="4"/>
      <c r="C912" s="4"/>
      <c r="D912" s="4"/>
      <c r="E912" s="4"/>
    </row>
    <row r="913">
      <c r="A913" s="4"/>
      <c r="B913" s="4"/>
      <c r="C913" s="4"/>
      <c r="D913" s="4"/>
      <c r="E913" s="4"/>
    </row>
    <row r="914">
      <c r="A914" s="4"/>
      <c r="B914" s="4"/>
      <c r="C914" s="4"/>
      <c r="D914" s="4"/>
      <c r="E914" s="4"/>
    </row>
    <row r="915">
      <c r="A915" s="4"/>
      <c r="B915" s="4"/>
      <c r="C915" s="4"/>
      <c r="D915" s="4"/>
      <c r="E915" s="4"/>
    </row>
    <row r="916">
      <c r="A916" s="4"/>
      <c r="B916" s="4"/>
      <c r="C916" s="4"/>
      <c r="D916" s="4"/>
      <c r="E916" s="4"/>
    </row>
    <row r="917">
      <c r="A917" s="4"/>
      <c r="B917" s="4"/>
      <c r="C917" s="4"/>
      <c r="D917" s="4"/>
      <c r="E917" s="4"/>
    </row>
    <row r="918">
      <c r="A918" s="4"/>
      <c r="B918" s="4"/>
      <c r="C918" s="4"/>
      <c r="D918" s="4"/>
      <c r="E918" s="4"/>
    </row>
    <row r="919">
      <c r="A919" s="4"/>
      <c r="B919" s="4"/>
      <c r="C919" s="4"/>
      <c r="D919" s="4"/>
      <c r="E919" s="4"/>
    </row>
    <row r="920">
      <c r="A920" s="4"/>
      <c r="B920" s="4"/>
      <c r="C920" s="4"/>
      <c r="D920" s="4"/>
      <c r="E920" s="4"/>
    </row>
    <row r="921">
      <c r="A921" s="4"/>
      <c r="B921" s="4"/>
      <c r="C921" s="4"/>
      <c r="D921" s="4"/>
      <c r="E921" s="4"/>
    </row>
    <row r="922">
      <c r="A922" s="4"/>
      <c r="B922" s="4"/>
      <c r="C922" s="4"/>
      <c r="D922" s="4"/>
      <c r="E922" s="4"/>
    </row>
    <row r="923">
      <c r="A923" s="4"/>
      <c r="B923" s="4"/>
      <c r="C923" s="4"/>
      <c r="D923" s="4"/>
      <c r="E923" s="4"/>
    </row>
    <row r="924">
      <c r="A924" s="4"/>
      <c r="B924" s="4"/>
      <c r="C924" s="4"/>
      <c r="D924" s="4"/>
      <c r="E924" s="4"/>
    </row>
    <row r="925">
      <c r="A925" s="4"/>
      <c r="B925" s="4"/>
      <c r="C925" s="4"/>
      <c r="D925" s="4"/>
      <c r="E925" s="4"/>
    </row>
    <row r="926">
      <c r="A926" s="4"/>
      <c r="B926" s="4"/>
      <c r="C926" s="4"/>
      <c r="D926" s="4"/>
      <c r="E926" s="4"/>
    </row>
    <row r="927">
      <c r="A927" s="4"/>
      <c r="B927" s="4"/>
      <c r="C927" s="4"/>
      <c r="D927" s="4"/>
      <c r="E927" s="4"/>
    </row>
    <row r="928">
      <c r="A928" s="4"/>
      <c r="B928" s="4"/>
      <c r="C928" s="4"/>
      <c r="D928" s="4"/>
      <c r="E928" s="4"/>
    </row>
    <row r="929">
      <c r="A929" s="4"/>
      <c r="B929" s="4"/>
      <c r="C929" s="4"/>
      <c r="D929" s="4"/>
      <c r="E929" s="4"/>
    </row>
    <row r="930">
      <c r="A930" s="4"/>
      <c r="B930" s="4"/>
      <c r="C930" s="4"/>
      <c r="D930" s="4"/>
      <c r="E930" s="4"/>
    </row>
    <row r="931">
      <c r="A931" s="4"/>
      <c r="B931" s="4"/>
      <c r="C931" s="4"/>
      <c r="D931" s="4"/>
      <c r="E931" s="4"/>
    </row>
    <row r="932">
      <c r="A932" s="4"/>
      <c r="B932" s="4"/>
      <c r="C932" s="4"/>
      <c r="D932" s="4"/>
      <c r="E932" s="4"/>
    </row>
    <row r="933">
      <c r="A933" s="4"/>
      <c r="B933" s="4"/>
      <c r="C933" s="4"/>
      <c r="D933" s="4"/>
      <c r="E933" s="4"/>
    </row>
    <row r="934">
      <c r="A934" s="4"/>
      <c r="B934" s="4"/>
      <c r="C934" s="4"/>
      <c r="D934" s="4"/>
      <c r="E934" s="4"/>
    </row>
    <row r="935">
      <c r="A935" s="4"/>
      <c r="B935" s="4"/>
      <c r="C935" s="4"/>
      <c r="D935" s="4"/>
      <c r="E935" s="4"/>
    </row>
    <row r="936">
      <c r="A936" s="4"/>
      <c r="B936" s="4"/>
      <c r="C936" s="4"/>
      <c r="D936" s="4"/>
      <c r="E936" s="4"/>
    </row>
    <row r="937">
      <c r="A937" s="4"/>
      <c r="B937" s="4"/>
      <c r="C937" s="4"/>
      <c r="D937" s="4"/>
      <c r="E937" s="4"/>
    </row>
    <row r="938">
      <c r="A938" s="4"/>
      <c r="B938" s="4"/>
      <c r="C938" s="4"/>
      <c r="D938" s="4"/>
      <c r="E938" s="4"/>
    </row>
    <row r="939">
      <c r="A939" s="4"/>
      <c r="B939" s="4"/>
      <c r="C939" s="4"/>
      <c r="D939" s="4"/>
      <c r="E939" s="4"/>
    </row>
    <row r="940">
      <c r="A940" s="4"/>
      <c r="B940" s="4"/>
      <c r="C940" s="4"/>
      <c r="D940" s="4"/>
      <c r="E940" s="4"/>
    </row>
    <row r="941">
      <c r="A941" s="4"/>
      <c r="B941" s="4"/>
      <c r="C941" s="4"/>
      <c r="D941" s="4"/>
      <c r="E941" s="4"/>
    </row>
    <row r="942">
      <c r="A942" s="4"/>
      <c r="B942" s="4"/>
      <c r="C942" s="4"/>
      <c r="D942" s="4"/>
      <c r="E942" s="4"/>
    </row>
    <row r="943">
      <c r="A943" s="4"/>
      <c r="B943" s="4"/>
      <c r="C943" s="4"/>
      <c r="D943" s="4"/>
      <c r="E943" s="4"/>
    </row>
    <row r="944">
      <c r="A944" s="4"/>
      <c r="B944" s="4"/>
      <c r="C944" s="4"/>
      <c r="D944" s="4"/>
      <c r="E944" s="4"/>
    </row>
    <row r="945">
      <c r="A945" s="4"/>
      <c r="B945" s="4"/>
      <c r="C945" s="4"/>
      <c r="D945" s="4"/>
      <c r="E945" s="4"/>
    </row>
    <row r="946">
      <c r="A946" s="4"/>
      <c r="B946" s="4"/>
      <c r="C946" s="4"/>
      <c r="D946" s="4"/>
      <c r="E946" s="4"/>
    </row>
    <row r="947">
      <c r="A947" s="4"/>
      <c r="B947" s="4"/>
      <c r="C947" s="4"/>
      <c r="D947" s="4"/>
      <c r="E947" s="4"/>
    </row>
    <row r="948">
      <c r="A948" s="4"/>
      <c r="B948" s="4"/>
      <c r="C948" s="4"/>
      <c r="D948" s="4"/>
      <c r="E948" s="4"/>
    </row>
    <row r="949">
      <c r="A949" s="4"/>
      <c r="B949" s="4"/>
      <c r="C949" s="4"/>
      <c r="D949" s="4"/>
      <c r="E949" s="4"/>
    </row>
    <row r="950">
      <c r="A950" s="4"/>
      <c r="B950" s="4"/>
      <c r="C950" s="4"/>
      <c r="D950" s="4"/>
      <c r="E950" s="4"/>
    </row>
    <row r="951">
      <c r="A951" s="4"/>
      <c r="B951" s="4"/>
      <c r="C951" s="4"/>
      <c r="D951" s="4"/>
      <c r="E951" s="4"/>
    </row>
    <row r="952">
      <c r="A952" s="4"/>
      <c r="B952" s="4"/>
      <c r="C952" s="4"/>
      <c r="D952" s="4"/>
      <c r="E952" s="4"/>
    </row>
    <row r="953">
      <c r="A953" s="4"/>
      <c r="B953" s="4"/>
      <c r="C953" s="4"/>
      <c r="D953" s="4"/>
      <c r="E953" s="4"/>
    </row>
    <row r="954">
      <c r="A954" s="4"/>
      <c r="B954" s="4"/>
      <c r="C954" s="4"/>
      <c r="D954" s="4"/>
      <c r="E954" s="4"/>
    </row>
    <row r="955">
      <c r="A955" s="4"/>
      <c r="B955" s="4"/>
      <c r="C955" s="4"/>
      <c r="D955" s="4"/>
      <c r="E955" s="4"/>
    </row>
    <row r="956">
      <c r="A956" s="4"/>
      <c r="B956" s="4"/>
      <c r="C956" s="4"/>
      <c r="D956" s="4"/>
      <c r="E956" s="4"/>
    </row>
    <row r="957">
      <c r="A957" s="4"/>
      <c r="B957" s="4"/>
      <c r="C957" s="4"/>
      <c r="D957" s="4"/>
      <c r="E957" s="4"/>
    </row>
    <row r="958">
      <c r="A958" s="4"/>
      <c r="B958" s="4"/>
      <c r="C958" s="4"/>
      <c r="D958" s="4"/>
      <c r="E958" s="4"/>
    </row>
    <row r="959">
      <c r="A959" s="4"/>
      <c r="B959" s="4"/>
      <c r="C959" s="4"/>
      <c r="D959" s="4"/>
      <c r="E959" s="4"/>
    </row>
    <row r="960">
      <c r="A960" s="4"/>
      <c r="B960" s="4"/>
      <c r="C960" s="4"/>
      <c r="D960" s="4"/>
      <c r="E960" s="4"/>
    </row>
    <row r="961">
      <c r="A961" s="4"/>
      <c r="B961" s="4"/>
      <c r="C961" s="4"/>
      <c r="D961" s="4"/>
      <c r="E961" s="4"/>
    </row>
    <row r="962">
      <c r="A962" s="4"/>
      <c r="B962" s="4"/>
      <c r="C962" s="4"/>
      <c r="D962" s="4"/>
      <c r="E962" s="4"/>
    </row>
    <row r="963">
      <c r="A963" s="4"/>
      <c r="B963" s="4"/>
      <c r="C963" s="4"/>
      <c r="D963" s="4"/>
      <c r="E963" s="4"/>
    </row>
    <row r="964">
      <c r="A964" s="4"/>
      <c r="B964" s="4"/>
      <c r="C964" s="4"/>
      <c r="D964" s="4"/>
      <c r="E964" s="4"/>
    </row>
    <row r="965">
      <c r="A965" s="4"/>
      <c r="B965" s="4"/>
      <c r="C965" s="4"/>
      <c r="D965" s="4"/>
      <c r="E965" s="4"/>
    </row>
    <row r="966">
      <c r="A966" s="4"/>
      <c r="B966" s="4"/>
      <c r="C966" s="4"/>
      <c r="D966" s="4"/>
      <c r="E966" s="4"/>
    </row>
    <row r="967">
      <c r="A967" s="4"/>
      <c r="B967" s="4"/>
      <c r="C967" s="4"/>
      <c r="D967" s="4"/>
      <c r="E967" s="4"/>
    </row>
    <row r="968">
      <c r="A968" s="4"/>
      <c r="B968" s="4"/>
      <c r="C968" s="4"/>
      <c r="D968" s="4"/>
      <c r="E968" s="4"/>
    </row>
    <row r="969">
      <c r="A969" s="4"/>
      <c r="B969" s="4"/>
      <c r="C969" s="4"/>
      <c r="D969" s="4"/>
      <c r="E969" s="4"/>
    </row>
    <row r="970">
      <c r="A970" s="4"/>
      <c r="B970" s="4"/>
      <c r="C970" s="4"/>
      <c r="D970" s="4"/>
      <c r="E970" s="4"/>
    </row>
    <row r="971">
      <c r="A971" s="4"/>
      <c r="B971" s="4"/>
      <c r="C971" s="4"/>
      <c r="D971" s="4"/>
      <c r="E971" s="4"/>
    </row>
    <row r="972">
      <c r="A972" s="4"/>
      <c r="B972" s="4"/>
      <c r="C972" s="4"/>
      <c r="D972" s="4"/>
      <c r="E972" s="4"/>
    </row>
    <row r="973">
      <c r="A973" s="4"/>
      <c r="B973" s="4"/>
      <c r="C973" s="4"/>
      <c r="D973" s="4"/>
      <c r="E973" s="4"/>
    </row>
    <row r="974">
      <c r="A974" s="4"/>
      <c r="B974" s="4"/>
      <c r="C974" s="4"/>
      <c r="D974" s="4"/>
      <c r="E974" s="4"/>
    </row>
    <row r="975">
      <c r="A975" s="4"/>
      <c r="B975" s="4"/>
      <c r="C975" s="4"/>
      <c r="D975" s="4"/>
      <c r="E975" s="4"/>
    </row>
    <row r="976">
      <c r="A976" s="4"/>
      <c r="B976" s="4"/>
      <c r="C976" s="4"/>
      <c r="D976" s="4"/>
      <c r="E976" s="4"/>
    </row>
    <row r="977">
      <c r="A977" s="4"/>
      <c r="B977" s="4"/>
      <c r="C977" s="4"/>
      <c r="D977" s="4"/>
      <c r="E977" s="4"/>
    </row>
    <row r="978">
      <c r="A978" s="4"/>
      <c r="B978" s="4"/>
      <c r="C978" s="4"/>
      <c r="D978" s="4"/>
      <c r="E978" s="4"/>
    </row>
    <row r="979">
      <c r="A979" s="4"/>
      <c r="B979" s="4"/>
      <c r="C979" s="4"/>
      <c r="D979" s="4"/>
      <c r="E979" s="4"/>
    </row>
    <row r="980">
      <c r="A980" s="4"/>
      <c r="B980" s="4"/>
      <c r="C980" s="4"/>
      <c r="D980" s="4"/>
      <c r="E980" s="4"/>
    </row>
    <row r="981">
      <c r="A981" s="4"/>
      <c r="B981" s="4"/>
      <c r="C981" s="4"/>
      <c r="D981" s="4"/>
      <c r="E981" s="4"/>
    </row>
    <row r="982">
      <c r="A982" s="4"/>
      <c r="B982" s="4"/>
      <c r="C982" s="4"/>
      <c r="D982" s="4"/>
      <c r="E982" s="4"/>
    </row>
    <row r="983">
      <c r="A983" s="4"/>
      <c r="B983" s="4"/>
      <c r="C983" s="4"/>
      <c r="D983" s="4"/>
      <c r="E983" s="4"/>
    </row>
    <row r="984">
      <c r="A984" s="4"/>
      <c r="B984" s="4"/>
      <c r="C984" s="4"/>
      <c r="D984" s="4"/>
      <c r="E984" s="4"/>
    </row>
    <row r="985">
      <c r="A985" s="4"/>
      <c r="B985" s="4"/>
      <c r="C985" s="4"/>
      <c r="D985" s="4"/>
      <c r="E985" s="4"/>
    </row>
    <row r="986">
      <c r="A986" s="4"/>
      <c r="B986" s="4"/>
      <c r="C986" s="4"/>
      <c r="D986" s="4"/>
      <c r="E986" s="4"/>
    </row>
    <row r="987">
      <c r="A987" s="4"/>
      <c r="B987" s="4"/>
      <c r="C987" s="4"/>
      <c r="D987" s="4"/>
      <c r="E987" s="4"/>
    </row>
    <row r="988">
      <c r="A988" s="4"/>
      <c r="B988" s="4"/>
      <c r="C988" s="4"/>
      <c r="D988" s="4"/>
      <c r="E988" s="4"/>
    </row>
    <row r="989">
      <c r="A989" s="4"/>
      <c r="B989" s="4"/>
      <c r="C989" s="4"/>
      <c r="D989" s="4"/>
      <c r="E989" s="4"/>
    </row>
    <row r="990">
      <c r="A990" s="4"/>
      <c r="B990" s="4"/>
      <c r="C990" s="4"/>
      <c r="D990" s="4"/>
      <c r="E990" s="4"/>
    </row>
    <row r="991">
      <c r="A991" s="4"/>
      <c r="B991" s="4"/>
      <c r="C991" s="4"/>
      <c r="D991" s="4"/>
      <c r="E991" s="4"/>
    </row>
    <row r="992">
      <c r="A992" s="4"/>
      <c r="B992" s="4"/>
      <c r="C992" s="4"/>
      <c r="D992" s="4"/>
      <c r="E992" s="4"/>
    </row>
    <row r="993">
      <c r="A993" s="4"/>
      <c r="B993" s="4"/>
      <c r="C993" s="4"/>
      <c r="D993" s="4"/>
      <c r="E993" s="4"/>
    </row>
    <row r="994">
      <c r="A994" s="4"/>
      <c r="B994" s="4"/>
      <c r="C994" s="4"/>
      <c r="D994" s="4"/>
      <c r="E994" s="4"/>
    </row>
    <row r="995">
      <c r="A995" s="4"/>
      <c r="B995" s="4"/>
      <c r="C995" s="4"/>
      <c r="D995" s="4"/>
      <c r="E995" s="4"/>
    </row>
    <row r="996">
      <c r="A996" s="4"/>
      <c r="B996" s="4"/>
      <c r="C996" s="4"/>
      <c r="D996" s="4"/>
      <c r="E996" s="4"/>
    </row>
    <row r="997">
      <c r="A997" s="4"/>
      <c r="B997" s="4"/>
      <c r="C997" s="4"/>
      <c r="D997" s="4"/>
      <c r="E997" s="4"/>
    </row>
    <row r="998">
      <c r="A998" s="4"/>
      <c r="B998" s="4"/>
      <c r="C998" s="4"/>
      <c r="D998" s="4"/>
      <c r="E998" s="4"/>
    </row>
    <row r="999">
      <c r="A999" s="4"/>
      <c r="B999" s="4"/>
      <c r="C999" s="4"/>
      <c r="D999" s="4"/>
      <c r="E999" s="4"/>
    </row>
    <row r="1000">
      <c r="A1000" s="4"/>
      <c r="B1000" s="4"/>
      <c r="C1000" s="4"/>
      <c r="D1000" s="4"/>
      <c r="E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 t="s">
        <v>106</v>
      </c>
      <c r="B1" s="15" t="s">
        <v>107</v>
      </c>
      <c r="C1" s="15" t="s">
        <v>2</v>
      </c>
      <c r="D1" s="15" t="s">
        <v>108</v>
      </c>
      <c r="E1" s="15" t="s">
        <v>109</v>
      </c>
      <c r="F1" s="15" t="s">
        <v>110</v>
      </c>
      <c r="G1" s="15" t="s">
        <v>111</v>
      </c>
      <c r="H1" s="15" t="s">
        <v>112</v>
      </c>
      <c r="I1" s="15" t="s">
        <v>113</v>
      </c>
      <c r="J1" s="15" t="s">
        <v>103</v>
      </c>
      <c r="K1" s="15" t="s">
        <v>114</v>
      </c>
      <c r="L1" s="15" t="s">
        <v>115</v>
      </c>
      <c r="M1" s="15" t="str">
        <f>TEXT(TODAY(),"vyyyymm")</f>
        <v>v202605</v>
      </c>
      <c r="N1" s="15">
        <f>COUNTIF(J2:J100,"ACTIVE")</f>
        <v>16</v>
      </c>
      <c r="O1" s="15" t="s">
        <v>116</v>
      </c>
      <c r="P1" s="15" t="s">
        <v>117</v>
      </c>
      <c r="Q1" s="15" t="s">
        <v>118</v>
      </c>
      <c r="R1" s="15" t="s">
        <v>119</v>
      </c>
      <c r="S1" s="15" t="s">
        <v>120</v>
      </c>
      <c r="T1" s="15" t="s">
        <v>121</v>
      </c>
      <c r="U1" s="4"/>
      <c r="V1" s="4"/>
      <c r="W1" s="4"/>
      <c r="X1" s="4"/>
      <c r="Y1" s="4"/>
      <c r="Z1" s="4"/>
    </row>
    <row r="2">
      <c r="A2" s="13" t="s">
        <v>7</v>
      </c>
      <c r="B2" s="13" t="s">
        <v>8</v>
      </c>
      <c r="C2" s="4" t="s">
        <v>122</v>
      </c>
      <c r="D2" s="4" t="s">
        <v>123</v>
      </c>
      <c r="E2" s="4" t="s">
        <v>124</v>
      </c>
      <c r="F2" s="1" t="s">
        <v>125</v>
      </c>
      <c r="G2" s="4" t="s">
        <v>126</v>
      </c>
      <c r="H2" s="16" t="s">
        <v>127</v>
      </c>
      <c r="I2" s="17">
        <v>46023.0</v>
      </c>
      <c r="J2" s="1" t="s">
        <v>128</v>
      </c>
      <c r="K2" s="4" t="str">
        <f>IFERROR(__xludf.DUMMYFUNCTION("FILTER(A2:J100, J2:J100=""ACTIVE"")"),"§168")</f>
        <v>§168</v>
      </c>
      <c r="L2" s="4" t="str">
        <f>IFERROR(__xludf.DUMMYFUNCTION("""COMPUTED_VALUE"""),"(k)Special allowance for certain property
(1)Additional allowance
In the case of any qualified property—
(A)the depreciation deduction provided by section 167(a) for the taxable year in which such property is placed in service shall include an allowanc"&amp;"e equal to 100 percent of the adjusted basis of the qualified property, and
(B)the adjusted basis of the qualified property shall be reduced by the amount of such deduction before computing the amount otherwise allowable as a depreciation deduction under"&amp;" this chapter for such taxable year and any subsequent taxable year.
(2)Qualified property
For purposes of this subsection—
(A)In general
The term “qualified property” means property—
(i)
(I)to which this section applies which has a recovery period "&amp;"of 20 years or less,
(II)which is computer software (as defined in section 167(f)(1)(B)) for which a deduction is allowable under section 167(a) without regard to this subsection,
(III)which is water utility property, or [2]
(IV)which is a qualified fi"&amp;"lm or television production (as defined in subsection (d) of section 181) for which a deduction would have been allowable under section 181 without regard to subsections (a)(2) and (h) of such section or this subsection,
(V)which is a qualified live thea"&amp;"trical production (as defined in subsection (e) of section 181) for which a deduction would have been allowable under section 181 without regard to subsections (a)(2) and (h) of such section or this subsection, and or [3]
(VI)which is a qualified sound r"&amp;"ecording production (as defined in subsection (f) of section 181) for which a deduction would have been allowable under section 181 without regard to subsections (a)(2) and (h) of such section or this subsection, and
(ii)the original use of which begins "&amp;"with the taxpayer or the acquisition of which by the taxpayer meets the requirements of clause (i) of subparagraph (E).
(B)Certain property having longer production periods treated as qualified property
(i)In general
The term “qualified property” inclu"&amp;"des any property if such property—
(I)meets the requirements of clauses (i) and (ii) of subparagraph (A),
(II)has a recovery period of at least 10 years or is transportation property,
(III)is subject to section 263A, and
(IV)meets the requirements of "&amp;"clause (iii) of section 263A(f)(1)(B) (determined as if such clause also applies to property which has a long useful life (within the meaning of section 263A(f))).
(ii)Transportation property
For purposes of this subparagraph, the term “transportation p"&amp;"roperty” means tangible personal property used in the trade or business of transporting persons or property.
(iii)Application of subparagraph
This subparagraph shall not apply to any property which is described in subparagraph (C).
(C)Certain aircr"&amp;"aft
The term “qualified property” includes property—
(i)which meets the requirements of subparagraph (A)(ii),
(ii)which is an aircraft which is not a transportation property (as defined in subparagraph (B)(ii)) other than for agricultural or firefighti"&amp;"ng purposes,
(iii)which is purchased and on which such purchaser, at the time of the contract for purchase, has made a nonrefundable deposit of the lesser of—
(I)10 percent of the cost, or
(II)$100,000, and
(iv)which has—
(I)an estimated production p"&amp;"eriod exceeding 4 months, and
(II)a cost exceeding $200,000.
(D)Exception for alternative depreciation property
The term “qualified property” shall not include any property to which the alternative depreciation system under subsection (g) applies, dete"&amp;"rmined—
(i)without regard to paragraph (7) of subsection (g) (relating to election to have system apply), and
(ii)after application of section 280F(b) (relating to listed property with limited business use).
(E)Special rules
(i)Acquisition requirement"&amp;"s
An acquisition of property meets the requirements of this clause if—
(I)such property was not used by the taxpayer at any time prior to such acquisition, and
(II)the acquisition of such property meets the requirements of paragraphs (2)(A), (2)(B), (2"&amp;")(C), and (3) of section 179(d).
(ii)Syndication
For purposes of subparagraph (A)(ii), if—
(I)property is used by a lessor of such property and such use is the lessor’s first use of such property,
(II)such property is sold by such lessor or any subseq"&amp;"uent purchaser within 3 months after the date such property was originally placed in service (or, in the case of multiple units of property subject to the same lease, within 3 months after the date the final unit is placed in service, so long as the perio"&amp;"d between the time the first unit is placed in service and the time the last unit is placed in service does not exceed 12 months), and
(III)the user of such property after the last sale during such 3-month period remains the same as when such property wa"&amp;"s originally placed in service,
 such property shall be treated as originally placed in service not earlier than the date of such last sale.
(F)Coordination with section 280F
For purposes of section 280F—
(i)Automobiles
In the case of a passenger aut"&amp;"omobile (as defined in section 280F(d)(5)) which is qualified property, the Secretary shall increase the limitation under section 280F(a)(1)(A)(i) by $8,000.
(ii)Listed property
The deduction allowable under paragraph (1) shall be taken into account i"&amp;"n computing any recapture amount under section 280F(b)(2).
(iii)Phase down
In the case of a passenger automobile acquired by the taxpayer before September 28, 2017, and placed in service by the taxpayer after September 27, 2017, clause (i) shall be ap"&amp;"plied by substituting for “$8,000”—
(I)in the case of an automobile placed in service during 2018, $6,400, and
(II)in the case of an automobile placed in service during 2019, $4,800.
(G)Deduction allowed in computing minimum tax
For purposes of determ"&amp;"ining alternative minimum taxable income under section 55, the deduction under section 167 for qualified property shall be determined without regard to any adjustment under section 56.
(H)Production placed in service
For purposes of subparagraph (A)—
"&amp;"
(i)a qualified film or television production shall be considered to be placed in service at the time of initial release or broadcast,
(ii)a qualified live theatrical production shall be considered to be placed in service at the time of the initial live "&amp;"staged performance, and
(iii)a qualified sound recording production shall be considered to be placed in service at the time of initial release or broadcast.
[(3)Repealed. Pub. L. 115–97, title I, § 13204(a)(4)(B)(ii), Dec. 22, 2017, 131 Stat. 2111]
[(4"&amp;")Repealed. Pub. L. 115–97, title I, § 12001(b)(13), Dec. 22, 2017, 131 Stat. 2094]
(5)Special rules for certain plants bearing fruits and nuts
(A)In general
In the case of any specified plant which is planted or grafted by the taxpayer in the ordinary "&amp;"course of the taxpayer’s farming business (as defined in section 263A(e)(4)) during a taxable year for which the taxpayer has elected the application of this paragraph—
(i)a depreciation deduction equal to 100 percent of the adjusted basis of such specif"&amp;"ied plant shall be allowed under section 167(a) for the taxable year in which such specified plant is so planted or grafted, and
(ii)the adjusted basis of such specified plant shall be reduced by the amount of such deduction.
(B)Specified plant
For pur"&amp;"poses of this paragraph, the term “specified plant” means—
(i)any tree or vine which bears fruits or nuts, and
(ii)any other plant which will have more than one crop or yield of fruits or nuts and which generally has a pre-productive period of more than"&amp;" 2 years from the time of planting or grafting to the time at which such plant begins bearing a marketable crop or yield of fruits or nuts.
Such term shall not include any property which is planted or grafted outside of the United States.
(C)Election re"&amp;"vocable only with consent
An election under this paragraph may be revoked only with the consent of the Secretary.
(D)Additional depreciation may be claimed only once
If this paragraph applies to any specified plant, such specified plant shall not be "&amp;"treated as qualified property in the taxable year in which placed in service.
(E)Deduction allowed in computing minimum tax
Rules similar to the rules of paragraph (2)(G) shall apply for purposes of this paragraph.
[(6)Repealed. Pub. L. 119–21, tit"&amp;"le VII, § 70301(b)(1)(B), July 4, 2025, 139 Stat. 189]
(7)Election out
If a taxpayer makes an election under this paragraph with respect to any class of property for any taxable year, paragraphs (1) and (2)(F) shall not apply to any qualified property i"&amp;"n such class placed in service during such taxable year. An election under this paragraph may be revoked only with the consent of the Secretary.
[(8)Repealed. Pub. L. 119–21, title VII, § 70301(b)(1)(B), July 4, 2025, 139 Stat. 189]
(9)Exception for c"&amp;"ertain property
The term “qualified property” shall not include—
(A)any property which is primarily used in a trade or business described in clause (iv) of section 163(j)(7)(A), or
(B)any property used in a trade or business that has had floor plan fin"&amp;"ancing indebtedness (as defined in paragraph (9) of section 163(j)), if the floor plan financing interest related to such indebtedness was taken into account under paragraph (1)(C) of such section.
(10)Special rule for property placed in service during c"&amp;"ertain periods
(A)In general
In the case of qualified property placed in service by the taxpayer during the first taxable year ending after January 19, 2025, if the taxpayer elects to have this paragraph apply for such taxable year, paragraph (1)(A) sha"&amp;"ll be applied—
(i)in the case of property which is not described in clause (ii), by substituting “40 percent” for “100 percent”, or
(ii)in the case of property which is described in subparagraph (B) or (C) of paragraph (2), by substituting “60 percent” "&amp;"for “100 percent”.
(B)Specified plants
In the case of any specified plant planted or grafted by the taxpayer during the first taxable year ending after January 19, 2025, if the taxpayer elects to have this paragraph apply for such taxable year, paragrap"&amp;"h (5)(A)(i) shall be applied by substituting “40 percent” for “100 percent”.
(C)Form of election
Any election under this paragraph shall be made at such time and in such form and manner as the Secretary may prescribe.")</f>
        <v>(k)Special allowance for certain property
(1)Additional allowance
In the case of any qualified property—
(A)the depreciation deduction provided by section 167(a) for the taxable year in which such property is placed in service shall include an allowance equal to 100 percent of the adjusted basis of the qualified property, and
(B)the adjusted basis of the qualified property shall be reduced by the amount of such deduction before computing the amount otherwise allowable as a depreciation deduction under this chapter for such taxable year and any subsequent taxable year.
(2)Qualified property
For purposes of this subsection—
(A)In general
The term “qualified property” means property—
(i)
(I)to which this section applies which has a recovery period of 20 years or less,
(II)which is computer software (as defined in section 167(f)(1)(B)) for which a deduction is allowable under section 167(a) without regard to this subsection,
(III)which is water utility property, or [2]
(IV)which is a qualified film or television production (as defined in subsection (d) of section 181) for which a deduction would have been allowable under section 181 without regard to subsections (a)(2) and (h) of such section or this subsection,
(V)which is a qualified live theatrical production (as defined in subsection (e) of section 181) for which a deduction would have been allowable under section 181 without regard to subsections (a)(2) and (h) of such section or this subsection, and or [3]
(VI)which is a qualified sound recording production (as defined in subsection (f) of section 181) for which a deduction would have been allowable under section 181 without regard to subsections (a)(2) and (h) of such section or this subsection, and
(ii)the original use of which begins with the taxpayer or the acquisition of which by the taxpayer meets the requirements of clause (i) of subparagraph (E).
(B)Certain property having longer production periods treated as qualified property
(i)In general
The term “qualified property” includes any property if such property—
(I)meets the requirements of clauses (i) and (ii) of subparagraph (A),
(II)has a recovery period of at least 10 years or is transportation property,
(III)is subject to section 263A, and
(IV)meets the requirements of clause (iii) of section 263A(f)(1)(B) (determined as if such clause also applies to property which has a long useful life (within the meaning of section 263A(f))).
(ii)Transportation property
For purposes of this subparagraph, the term “transportation property” means tangible personal property used in the trade or business of transporting persons or property.
(iii)Application of subparagraph
This subparagraph shall not apply to any property which is described in subparagraph (C).
(C)Certain aircraft
The term “qualified property” includes property—
(i)which meets the requirements of subparagraph (A)(ii),
(ii)which is an aircraft which is not a transportation property (as defined in subparagraph (B)(ii)) other than for agricultural or firefighting purposes,
(iii)which is purchased and on which such purchaser, at the time of the contract for purchase, has made a nonrefundable deposit of the lesser of—
(I)10 percent of the cost, or
(II)$100,000, and
(iv)which has—
(I)an estimated production period exceeding 4 months, and
(II)a cost exceeding $200,000.
(D)Exception for alternative depreciation property
The term “qualified property” shall not include any property to which the alternative depreciation system under subsection (g) applies, determined—
(i)without regard to paragraph (7) of subsection (g) (relating to election to have system apply), and
(ii)after application of section 280F(b) (relating to listed property with limited business use).
(E)Special rules
(i)Acquisition requirements
An acquisition of property meets the requirements of this clause if—
(I)such property was not used by the taxpayer at any time prior to such acquisition, and
(II)the acquisition of such property meets the requirements of paragraphs (2)(A), (2)(B), (2)(C), and (3) of section 179(d).
(ii)Syndication
For purposes of subparagraph (A)(ii), if—
(I)property is used by a lessor of such property and such use is the lessor’s first use of such property,
(II)such property is sold by such lessor or any subsequent purchaser within 3 months after the date such property was originally placed in service (or, in the case of multiple units of property subject to the same lease, within 3 months after the date the final unit is placed in service, so long as the period between the time the first unit is placed in service and the time the last unit is placed in service does not exceed 12 months), and
(III)the user of such property after the last sale during such 3-month period remains the same as when such property was originally placed in service,
 such property shall be treated as originally placed in service not earlier than the date of such last sale.
(F)Coordination with section 280F
For purposes of section 280F—
(i)Automobiles
In the case of a passenger automobile (as defined in section 280F(d)(5)) which is qualified property, the Secretary shall increase the limitation under section 280F(a)(1)(A)(i) by $8,000.
(ii)Listed property
The deduction allowable under paragraph (1) shall be taken into account in computing any recapture amount under section 280F(b)(2).
(iii)Phase down
In the case of a passenger automobile acquired by the taxpayer before September 28, 2017, and placed in service by the taxpayer after September 27, 2017, clause (i) shall be applied by substituting for “$8,000”—
(I)in the case of an automobile placed in service during 2018, $6,400, and
(II)in the case of an automobile placed in service during 2019, $4,800.
(G)Deduction allowed in computing minimum tax
For purposes of determining alternative minimum taxable income under section 55, the deduction under section 167 for qualified property shall be determined without regard to any adjustment under section 56.
(H)Production placed in service
For purposes of subparagraph (A)—
(i)a qualified film or television production shall be considered to be placed in service at the time of initial release or broadcast,
(ii)a qualified live theatrical production shall be considered to be placed in service at the time of the initial live staged performance, and
(iii)a qualified sound recording production shall be considered to be placed in service at the time of initial release or broadcast.
[(3)Repealed. Pub. L. 115–97, title I, § 13204(a)(4)(B)(ii), Dec. 22, 2017, 131 Stat. 2111]
[(4)Repealed. Pub. L. 115–97, title I, § 12001(b)(13), Dec. 22, 2017, 131 Stat. 2094]
(5)Special rules for certain plants bearing fruits and nuts
(A)In general
In the case of any specified plant which is planted or grafted by the taxpayer in the ordinary course of the taxpayer’s farming business (as defined in section 263A(e)(4)) during a taxable year for which the taxpayer has elected the application of this paragraph—
(i)a depreciation deduction equal to 100 percent of the adjusted basis of such specified plant shall be allowed under section 167(a) for the taxable year in which such specified plant is so planted or grafted, and
(ii)the adjusted basis of such specified plant shall be reduced by the amount of such deduction.
(B)Specified plant
For purposes of this paragraph, the term “specified plant” means—
(i)any tree or vine which bears fruits or nuts, and
(ii)any other plant which will have more than one crop or yield of fruits or nuts and which generally has a pre-productive period of more than 2 years from the time of planting or grafting to the time at which such plant begins bearing a marketable crop or yield of fruits or nuts.
Such term shall not include any property which is planted or grafted outside of the United States.
(C)Election revocable only with consent
An election under this paragraph may be revoked only with the consent of the Secretary.
(D)Additional depreciation may be claimed only once
If this paragraph applies to any specified plant, such specified plant shall not be treated as qualified property in the taxable year in which placed in service.
(E)Deduction allowed in computing minimum tax
Rules similar to the rules of paragraph (2)(G) shall apply for purposes of this paragraph.
[(6)Repealed. Pub. L. 119–21, title VII, § 70301(b)(1)(B), July 4, 2025, 139 Stat. 189]
(7)Election out
If a taxpayer makes an election under this paragraph with respect to any class of property for any taxable year, paragraphs (1) and (2)(F) shall not apply to any qualified property in such class placed in service during such taxable year. An election under this paragraph may be revoked only with the consent of the Secretary.
[(8)Repealed. Pub. L. 119–21, title VII, § 70301(b)(1)(B), July 4, 2025, 139 Stat. 189]
(9)Exception for certain property
The term “qualified property” shall not include—
(A)any property which is primarily used in a trade or business described in clause (iv) of section 163(j)(7)(A), or
(B)any property used in a trade or business that has had floor plan financing indebtedness (as defined in paragraph (9) of section 163(j)), if the floor plan financing interest related to such indebtedness was taken into account under paragraph (1)(C) of such section.
(10)Special rule for property placed in service during certain periods
(A)In general
In the case of qualified property placed in service by the taxpayer during the first taxable year ending after January 19, 2025, if the taxpayer elects to have this paragraph apply for such taxable year, paragraph (1)(A) shall be applied—
(i)in the case of property which is not described in clause (ii), by substituting “40 percent” for “100 percent”, or
(ii)in the case of property which is described in subparagraph (B) or (C) of paragraph (2), by substituting “60 percent” for “100 percent”.
(B)Specified plants
In the case of any specified plant planted or grafted by the taxpayer during the first taxable year ending after January 19, 2025, if the taxpayer elects to have this paragraph apply for such taxable year, paragraph (5)(A)(i) shall be applied by substituting “40 percent” for “100 percent”.
(C)Form of election
Any election under this paragraph shall be made at such time and in such form and manner as the Secretary may prescribe.</v>
      </c>
      <c r="M2" s="4" t="str">
        <f>IFERROR(__xludf.DUMMYFUNCTION("""COMPUTED_VALUE"""),"Businesses can immediately deduct 100% of the cost of certain qualified property in the first year.")</f>
        <v>Businesses can immediately deduct 100% of the cost of certain qualified property in the first year.</v>
      </c>
      <c r="N2" s="4" t="str">
        <f>IFERROR(__xludf.DUMMYFUNCTION("""COMPUTED_VALUE"""),"Industries: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O2" s="4" t="str">
        <f>IFERROR(__xludf.DUMMYFUNCTION("""COMPUTED_VALUE"""),"Fixed Asset Accounts, Purchase Date, Asset Description, Original Cost, Accumulated Depreciation, Section 179/Bonus Depreciation Election, Chart of Accounts (for business type and floor plan financing interest), Vehicle Log (for 280F compliance), Item List"&amp;" (for computer software or media productions)")</f>
        <v>Fixed Asset Accounts, Purchase Date, Asset Description, Original Cost, Accumulated Depreciation, Section 179/Bonus Depreciation Election, Chart of Accounts (for business type and floor plan financing interest), Vehicle Log (for 280F compliance), Item List (for computer software or media productions)</v>
      </c>
      <c r="P2" s="4" t="str">
        <f>IFERROR(__xludf.DUMMYFUNCTION("""COMPUTED_VALUE"""),"🚨 Important: Bonus Depreciation Update for [Entity]
How this affects you::
As of [Date], your business may be eligible for a 100% immediate deduction on the [Amount] adjusted basis of qualified property placed in service this year. This ""bonus deprecia"&amp;"tion"" allows you to write off the full cost of assets like equipment, certain software, and specific productions in a single taxable year rather than over time.
✅ Verify your property has a recovery period of 20 years or less or is qualified computer so"&amp;"ftware
✅ Ensure the original use of the property began with your entity or meets specific acquisition requirements
✅ Confirm the asset was placed in service by the applicable [Date] deadline to qualify for the full 100% allowance
📚 Source: IRC Section 1"&amp;"68(k)
⚠️ Disclaimer: This template is for informational purposes only. Tax laws are subject to change and individual circumstances vary. Please consult with a qualified tax professional to confirm eligibility and compliance for your specific entity.")</f>
        <v>🚨 Important: Bonus Depreciation Update for [Entity]
How this affects you::
As of [Date], your business may be eligible for a 100% immediate deduction on the [Amount] adjusted basis of qualified property placed in service this year. This "bonus depreciation" allows you to write off the full cost of assets like equipment, certain software, and specific productions in a single taxable year rather than over time.
✅ Verify your property has a recovery period of 20 years or less or is qualified computer software
✅ Ensure the original use of the property began with your entity or meets specific acquisition requirements
✅ Confirm the asset was placed in service by the applicable [Date] deadline to qualify for the full 100% allowance
📚 Source: IRC Section 168(k)
⚠️ Disclaimer: This template is for informational purposes only. Tax laws are subject to change and individual circumstances vary. Please consult with a qualified tax professional to confirm eligibility and compliance for your specific entity.</v>
      </c>
      <c r="Q2" s="4" t="str">
        <f>IFERROR(__xludf.DUMMYFUNCTION("""COMPUTED_VALUE"""),"IRC Section 168 provides an immediate 100% bonus depreciation deduction for qualified property, which lowers your taxable income and can significantly reduce your effective tax rate in the year assets are placed in service.")</f>
        <v>IRC Section 168 provides an immediate 100% bonus depreciation deduction for qualified property, which lowers your taxable income and can significantly reduce your effective tax rate in the year assets are placed in service.</v>
      </c>
      <c r="R2" s="18" t="str">
        <f>IFERROR(__xludf.DUMMYFUNCTION("""COMPUTED_VALUE"""),"https://www.law.cornell.edu/uscode/text/26/168")</f>
        <v>https://www.law.cornell.edu/uscode/text/26/168</v>
      </c>
      <c r="S2" s="19">
        <f>IFERROR(__xludf.DUMMYFUNCTION("""COMPUTED_VALUE"""),46023.0)</f>
        <v>46023</v>
      </c>
      <c r="T2" s="4" t="str">
        <f>IFERROR(__xludf.DUMMYFUNCTION("""COMPUTED_VALUE"""),"ACTIVE")</f>
        <v>ACTIVE</v>
      </c>
      <c r="U2" s="4"/>
      <c r="V2" s="4"/>
      <c r="W2" s="4"/>
      <c r="X2" s="4"/>
      <c r="Y2" s="4"/>
      <c r="Z2" s="4"/>
    </row>
    <row r="3">
      <c r="A3" s="13" t="s">
        <v>10</v>
      </c>
      <c r="B3" s="13" t="s">
        <v>11</v>
      </c>
      <c r="C3" s="4" t="s">
        <v>129</v>
      </c>
      <c r="D3" s="4" t="s">
        <v>123</v>
      </c>
      <c r="E3" s="4" t="s">
        <v>124</v>
      </c>
      <c r="F3" s="1" t="s">
        <v>130</v>
      </c>
      <c r="G3" s="4" t="s">
        <v>131</v>
      </c>
      <c r="H3" s="16" t="s">
        <v>132</v>
      </c>
      <c r="I3" s="17">
        <v>46023.0</v>
      </c>
      <c r="J3" s="1" t="s">
        <v>128</v>
      </c>
      <c r="K3" s="4" t="str">
        <f>IFERROR(__xludf.DUMMYFUNCTION("""COMPUTED_VALUE"""),"§179")</f>
        <v>§179</v>
      </c>
      <c r="L3" s="4" t="str">
        <f>IFERROR(__xludf.DUMMYFUNCTION("""COMPUTED_VALUE"""),"(a)Treatment as expenses
A taxpayer may elect to treat the cost of any section 179 property as an expense which is not chargeable to capital account. Any cost so treated shall be allowed as a deduction for the taxable year in which the section 179 proper"&amp;"ty is placed in service.
(b)Limitations
(1)Dollar limitation
The aggregate cost which may be taken into account under subsection (a) for any taxable year shall not exceed $2,500,000.
(2)Reduction in limitation
The limitation under paragraph (1) f"&amp;"or any taxable year shall be reduced (but not below zero) by the amount by which the cost of section 179 property placed in service during such taxable year exceeds $4,000,000.
(3)Limitation based on income from trade or business
(A)In general
The am"&amp;"ount allowed as a deduction under subsection (a) for any taxable year (determined after the application of paragraphs (1) and (2)) shall not exceed the aggregate amount of taxable income of the taxpayer for such taxable year which is derived from the acti"&amp;"ve conduct by the taxpayer of any trade or business during such taxable year.
(B)Carryover of disallowed deduction
The amount allowable as a deduction under subsection (a) for any taxable year shall be increased by the lesser of—
(i)the aggregate amo"&amp;"unt disallowed under subparagraph (A) for all prior taxable years (to the extent not previously allowed as a deduction by reason of this subparagraph), or
(ii)the excess (if any) of—
(I)the limitation of paragraphs (1) and (2) (or if lesser, the aggrega"&amp;"te amount of taxable income referred to in subparagraph (A)), over
(II)the amount allowable as a deduction under subsection (a) for such taxable year without regard to this subparagraph.
(C)Computation of taxable income
For purposes of this paragraph, "&amp;"taxable income derived from the conduct of a trade or business shall be computed without regard to the deduction allowable under this section.
(4)Married individuals filing separately
In the case of a husband and wife filing separate returns for the t"&amp;"axable year—
(A)such individuals shall be treated as 1 taxpayer for purposes of paragraphs (1) and (2), and
(B)unless such individuals elect otherwise, 50 percent of the cost which may be taken into account under subsection (a) for such taxable year (be"&amp;"fore application of paragraph (3)) shall be allocated to each such individual.
(5)Limitation on cost taken into account for certain passenger vehicles
(A)In general
The cost of any sport utility vehicle for any taxable year which may be taken into acco"&amp;"unt under this section shall not exceed $25,000.
(B)Sport utility vehicle
For purposes of subparagraph (A)—
(i)In general
The term “sport utility vehicle” means any 4-wheeled vehicle—
(I)which is primarily designed or which can be used to carry pas"&amp;"sengers over public streets, roads, or highways (except any vehicle operated exclusively on a rail or rails),
(II)which is not subject to section 280F, and
(III)which is rated at not more than 14,000 pounds gross vehicle weight.
(ii)Certain vehicles ex"&amp;"cluded
Such term does not include any vehicle which—
(I)is designed to have a seating capacity of more than 9 persons behind the driver’s seat,
(II)is equipped with a cargo area of at least 6 feet in interior length which is an open area or is designed"&amp;" for use as an open area but is enclosed by a cap and is not readily accessible directly from the passenger compartment, or
(III)has an integral enclosure, fully enclosing the driver compartment and load carrying device, does not have seating rearward of"&amp;" the driver’s seat, and has no body section protruding more than 30 inches ahead of the leading edge of the windshield.
(6)Inflation adjustment
(A)In general
In the case of any taxable year beginning after 2018 (2025 in the case of the dollar amounts i"&amp;"n paragraphs (1) and (2)), the dollar amounts in paragraphs (1), (2), and (5)(A) shall each be increased by an amount equal to—
(i)such dollar amount, multiplied by
(ii)the cost-of-living adjustment determined under section 1(f)(3) for the calendar year"&amp;" in which the taxable year begins, determined by substituting in subparagraph (A)(ii) thereof—
(I)in the case of amounts in paragraphs (1) and (2), “calendar year 2024” for “calendar year 2016”, and
(II)in the case of the amount in paragraph (5)(A), “ca"&amp;"lendar year 2017” for “calendar year 2016”.
(B)Rounding
The amount of any increase under subparagraph (A) shall be rounded to the nearest multiple of $10,000 ($100 in the case of any increase in the amount under paragraph (5)(A)).
(c)Election
(1)In "&amp;"general
An election under this section for any taxable year shall—
(A)specify the items of section 179 property to which the election applies and the portion of the cost of each of such items which is to be taken into account under subsection (a), and
"&amp;"(B)be made on the taxpayer’s return of the tax imposed by this chapter for the taxable year.
Such election shall be made in such manner as the Secretary may by regulations prescribe.
(2)Election
Any election made under this section, and any specificati"&amp;"on contained in any such election, may be revoked by the taxpayer with respect to any property, and such revocation, once made, shall be irrevocable.
(d)Definitions and special rules
(1)Section 179 property
For purposes of this section, the term “sec"&amp;"tion 179 property” means property—
(A)which is—
(i)tangible property (to which section 168 applies), or
(ii)computer software (as defined in section 197(e)(3)(B)) which is described in section 197(e)(3)(A)(i) and to which section 167 applies,
(B)which"&amp;" is—
(i)section 1245 property (as defined in section 1245(a)(3)), or
(ii)at the election of the taxpayer, qualified real property (as defined in subsection (e)), and
(C)which is acquired by purchase for use in the active conduct of a trade or business."&amp;"
Such term shall not include any property described in section 50(b) (other than paragraph (2) thereof).
(2)Purchase defined
For purposes of paragraph (1), the term “purchase” means any acquisition of property, but only if—
(A)the property is not acqu"&amp;"ired from a person whose relationship to the person acquiring it would result in the disallowance of losses under section 267 or 707(b) (but, in applying section 267(b) and (c) for purposes of this section, paragraph (4) of section 267(c) shall be treated"&amp;" as providing that the family of an individual shall include only his spouse, ancestors, and lineal descendants),
(B)the property is not acquired by one component member of a controlled group from another component member of the same controlled group, an"&amp;"d
(C)the basis of the property in the hands of the person acquiring it is not determined—
(i)in whole or in part by reference to the adjusted basis of such property in the hands of the person from whom acquired, or
(ii)under section 1014(a) (relating t"&amp;"o property acquired from a decedent).
(3)Cost
For purposes of this section, the cost of property does not include so much of the basis of such property as is determined by reference to the basis of other property held at any time by the person acquiring"&amp;" such property.
(4)Section not to apply to estates and trusts
This section shall not apply to estates and trusts.
(5)Section not to apply to certain noncorporate lessors
This section shall not apply to any section 179 property which is purchased b"&amp;"y a person who is not a corporation and with respect to which such person is the lessor unless—
(A)the property subject to the lease has been manufactured or produced by the lessor, or
(B)the term of the lease (taking into account options to renew) is l"&amp;"ess than 50 percent of the class life of the property (as defined in section 168(i)(1)), and for the period consisting of the first 12 months after the date on which the property is transferred to the lessee the sum of the deductions with respect to such "&amp;"property which are allowable to the lessor solely by reason of section 162 (other than rents and reimbursed amounts with respect to such property) exceeds 15 percent of the rental income produced by such property.
(6)Dollar limitation of controlled group"&amp;"
For purposes of subsection (b) of this section—
(A)all component members of a controlled group shall be treated as one taxpayer, and
(B)the Secretary shall apportion the dollar limitation contained in subsection (b)(1) among the component members of s"&amp;"uch controlled group in such manner as he shall by regulations prescribe.
(7)Controlled group defined
For purposes of paragraphs (2) and (6), the term “controlled group” has the meaning assigned to it by section 1563(a), except that, for such purposes, "&amp;"the phrase “more than 50 percent” shall be substituted for the phrase “at least 80 percent” each place it appears in section 1563(a)(1).
(8)Treatment of partnerships and S corporations
In the case of a partnership, the limitations of subsection (b) sh"&amp;"all apply with respect to the partnership and with respect to each partner. A similar rule shall apply in the case of an S corporation and its shareholders.
(9)Coordination with section 38
No credit shall be allowed under section 38 with respect to an"&amp;"y amount for which a deduction is allowed under subsection (a).
(10)Recapture in certain cases
The Secretary shall, by regulations, provide for recapturing the benefit under any deduction allowable under subsection (a) with respect to any property whi"&amp;"ch is not used predominantly in a trade or business at any time.
(e)Qualified real property
For purposes of this section, the term “qualified real property” means—
(1)any qualified improvement property described in section 168(e)(6), and
(2)any of t"&amp;"he following improvements to nonresidential real property placed in service after the date such property was first placed in service:
(A)Roofs.
(B)Heating, ventilation, and air-conditioning property.
(C)Fire protection and alarm systems.
(D)Security s"&amp;"ystems.
(Added Pub. L. 85–866, title II, § 204(a), Sept. 2, 1958, 72 Stat. 1679; amended Pub. L. 87–834, § 13(c)(2), Oct. 16, 1962, 76 Stat. 1034; Pub. L. 91–172, title IV, § 401(f), Dec. 30, 1969, 83 Stat. 603; Pub. L. 94–455, title II, § 213(a), title "&amp;"XIX, § 1906(b)(13)(A), Oct. 4, 1976, 90 Stat. 1547, 1834; Pub. L. 97–34, title II, § 202(a), Aug. 13, 1981, 95 Stat. 219; Pub. L. 97–354, § 3(f), Oct. 19, 1982, 96 Stat. 1689; Pub. L. 97–448, title I, § 102(aa), Jan. 12, 1983, 96 Stat. 2369; Pub. L. 98–36"&amp;"9, div. A, title I, § 13, July 18, 1984, 98 Stat. 505; Pub. L. 99–514, title II, §§ 201(d)(3), 202, Oct. 22, 1986, 100 Stat. 2139, 2142; Pub. L. 100–647, title I, § 1002(a)(19), (b)(1), Nov. 10, 1988, 102 Stat. 3356, 3357; Pub. L. 101–508, title XI, § 118"&amp;"13(b)(11), Nov. 5, 1990, 104 Stat. 1388–554; Pub. L. 103–66, title XIII, § 13116(a), Aug. 10, 1993, 107 Stat. 432; Pub. L. 104–188, title I, §§ 1111(a), 1702(h)(10), (19), Aug. 20, 1996, 110 Stat. 1758, 1874; Pub. L. 108–27, title II, § 202(a)–(e), May 28"&amp;", 2003, 117 Stat. 757, 758; Pub. L. 108–357, title II, § 201, title VIII, § 910(a), Oct. 22, 2004, 118 Stat. 1429, 1659; Pub. L. 109–222, title I, § 101, May 17, 2006, 120 Stat. 346; Pub. L. 110–28, title VIII, § 8212(a)–(c), May 25, 2007, 121 Stat. 192; "&amp;"Pub. L. 110–185, title I, § 102(a), Feb. 13, 2008, 122 Stat. 618; Pub. L. 110–343, div. C, title VII, § 711(a), Oct. 3, 2008, 122 Stat. 3928; Pub. L. 111–5, div. B, title I, § 1202(a), Feb. 17, 2009, 123 Stat. 335; Pub. L. 111–147, title II, § 201(a), Mar"&amp;". 18, 2010, 124 Stat. 77; Pub. L. 111–240, title II, § 2021(a)–(d), Sept. 27, 2010, 124 Stat. 2556, 2558; Pub. L. 111–312, title IV, § 402(a)–(e), title VII, § 737(b)(3), Dec. 17, 2010, 124 Stat. 3306, 3307, 3318; Pub. L. 112–240, title III, § 315(a)–(d),"&amp;" Jan. 2, 2013, 126 Stat. 2330, 2331; Pub. L. 113–295, div. A, title I, § 127(a)–(d), Dec. 19, 2014, 128 Stat. 4017; Pub. L. 114–113, div. Q, title I, § 124(a)–(f), Dec. 18, 2015, 129 Stat. 3053; Pub. L. 115–97, title I, §§ 11002(d)(1)(R), 13101(a)–(c), De"&amp;"c. 22, 2017, 131 Stat. 2060, 2101, 2102; Pub. L. 115–141, div. U, title IV, § 401(b)(15)(A), (B), Mar. 23, 2018, 132 Stat. 1202; Pub. L. 119–21, title VII, § 70306(a), (b), July 4, 2025, 139 Stat. 197.)")</f>
        <v>(a)Treatment as expenses
A taxpayer may elect to treat the cost of any section 179 property as an expense which is not chargeable to capital account. Any cost so treated shall be allowed as a deduction for the taxable year in which the section 179 property is placed in service.
(b)Limitations
(1)Dollar limitation
The aggregate cost which may be taken into account under subsection (a) for any taxable year shall not exceed $2,500,000.
(2)Reduction in limitation
The limitation under paragraph (1) for any taxable year shall be reduced (but not below zero) by the amount by which the cost of section 179 property placed in service during such taxable year exceeds $4,000,000.
(3)Limitation based on income from trade or business
(A)In general
The amount allowed as a deduction under subsection (a) for any taxable year (determined after the application of paragraphs (1) and (2)) shall not exceed the aggregate amount of taxable income of the taxpayer for such taxable year which is derived from the active conduct by the taxpayer of any trade or business during such taxable year.
(B)Carryover of disallowed deduction
The amount allowable as a deduction under subsection (a) for any taxable year shall be increased by the lesser of—
(i)the aggregate amount disallowed under subparagraph (A) for all prior taxable years (to the extent not previously allowed as a deduction by reason of this subparagraph), or
(ii)the excess (if any) of—
(I)the limitation of paragraphs (1) and (2) (or if lesser, the aggregate amount of taxable income referred to in subparagraph (A)), over
(II)the amount allowable as a deduction under subsection (a) for such taxable year without regard to this subparagraph.
(C)Computation of taxable income
For purposes of this paragraph, taxable income derived from the conduct of a trade or business shall be computed without regard to the deduction allowable under this section.
(4)Married individuals filing separately
In the case of a husband and wife filing separate returns for the taxable year—
(A)such individuals shall be treated as 1 taxpayer for purposes of paragraphs (1) and (2), and
(B)unless such individuals elect otherwise, 50 percent of the cost which may be taken into account under subsection (a) for such taxable year (before application of paragraph (3)) shall be allocated to each such individual.
(5)Limitation on cost taken into account for certain passenger vehicles
(A)In general
The cost of any sport utility vehicle for any taxable year which may be taken into account under this section shall not exceed $25,000.
(B)Sport utility vehicle
For purposes of subparagraph (A)—
(i)In general
The term “sport utility vehicle” means any 4-wheeled vehicle—
(I)which is primarily designed or which can be used to carry passengers over public streets, roads, or highways (except any vehicle operated exclusively on a rail or rails),
(II)which is not subject to section 280F, and
(III)which is rated at not more than 14,000 pounds gross vehicle weight.
(ii)Certain vehicles excluded
Such term does not include any vehicle which—
(I)is designed to have a seating capacity of more than 9 persons behind the driver’s seat,
(II)is equipped with a cargo area of at least 6 feet in interior length which is an open area or is designed for use as an open area but is enclosed by a cap and is not readily accessible directly from the passenger compartment, or
(III)has an integral enclosure, fully enclosing the driver compartment and load carrying device, does not have seating rearward of the driver’s seat, and has no body section protruding more than 30 inches ahead of the leading edge of the windshield.
(6)Inflation adjustment
(A)In general
In the case of any taxable year beginning after 2018 (2025 in the case of the dollar amounts in paragraphs (1) and (2)), the dollar amounts in paragraphs (1), (2), and (5)(A) shall each be increased by an amount equal to—
(i)such dollar amount, multiplied by
(ii)the cost-of-living adjustment determined under section 1(f)(3) for the calendar year in which the taxable year begins, determined by substituting in subparagraph (A)(ii) thereof—
(I)in the case of amounts in paragraphs (1) and (2), “calendar year 2024” for “calendar year 2016”, and
(II)in the case of the amount in paragraph (5)(A), “calendar year 2017” for “calendar year 2016”.
(B)Rounding
The amount of any increase under subparagraph (A) shall be rounded to the nearest multiple of $10,000 ($100 in the case of any increase in the amount under paragraph (5)(A)).
(c)Election
(1)In general
An election under this section for any taxable year shall—
(A)specify the items of section 179 property to which the election applies and the portion of the cost of each of such items which is to be taken into account under subsection (a), and
(B)be made on the taxpayer’s return of the tax imposed by this chapter for the taxable year.
Such election shall be made in such manner as the Secretary may by regulations prescribe.
(2)Election
Any election made under this section, and any specification contained in any such election, may be revoked by the taxpayer with respect to any property, and such revocation, once made, shall be irrevocable.
(d)Definitions and special rules
(1)Section 179 property
For purposes of this section, the term “section 179 property” means property—
(A)which is—
(i)tangible property (to which section 168 applies), or
(ii)computer software (as defined in section 197(e)(3)(B)) which is described in section 197(e)(3)(A)(i) and to which section 167 applies,
(B)which is—
(i)section 1245 property (as defined in section 1245(a)(3)), or
(ii)at the election of the taxpayer, qualified real property (as defined in subsection (e)), and
(C)which is acquired by purchase for use in the active conduct of a trade or business.
Such term shall not include any property described in section 50(b) (other than paragraph (2) thereof).
(2)Purchase defined
For purposes of paragraph (1), the term “purchase” means any acquisition of property, but only if—
(A)the property is not acquired from a person whose relationship to the person acquiring it would result in the disallowance of losses under section 267 or 707(b) (but, in applying section 267(b) and (c) for purposes of this section, paragraph (4) of section 267(c) shall be treated as providing that the family of an individual shall include only his spouse, ancestors, and lineal descendants),
(B)the property is not acquired by one component member of a controlled group from another component member of the same controlled group, and
(C)the basis of the property in the hands of the person acquiring it is not determined—
(i)in whole or in part by reference to the adjusted basis of such property in the hands of the person from whom acquired, or
(ii)under section 1014(a) (relating to property acquired from a decedent).
(3)Cost
For purposes of this section, the cost of property does not include so much of the basis of such property as is determined by reference to the basis of other property held at any time by the person acquiring such property.
(4)Section not to apply to estates and trusts
This section shall not apply to estates and trusts.
(5)Section not to apply to certain noncorporate lessors
This section shall not apply to any section 179 property which is purchased by a person who is not a corporation and with respect to which such person is the lessor unless—
(A)the property subject to the lease has been manufactured or produced by the lessor, or
(B)the term of the lease (taking into account options to renew) is less than 50 percent of the class life of the property (as defined in section 168(i)(1)),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(6)Dollar limitation of controlled group
For purposes of subsection (b) of this section—
(A)all component members of a controlled group shall be treated as one taxpayer, and
(B)the Secretary shall apportion the dollar limitation contained in subsection (b)(1) among the component members of such controlled group in such manner as he shall by regulations prescribe.
(7)Controlled group defined
For purposes of paragraphs (2) and (6), the term “controlled group” has the meaning assigned to it by section 1563(a), except that, for such purposes, the phrase “more than 50 percent” shall be substituted for the phrase “at least 80 percent” each place it appears in section 1563(a)(1).
(8)Treatment of partnerships and S corporations
In the case of a partnership, the limitations of subsection (b) shall apply with respect to the partnership and with respect to each partner. A similar rule shall apply in the case of an S corporation and its shareholders.
(9)Coordination with section 38
No credit shall be allowed under section 38 with respect to any amount for which a deduction is allowed under subsection (a).
(10)Recapture in certain cases
The Secretary shall, by regulations, provide for recapturing the benefit under any deduction allowable under subsection (a) with respect to any property which is not used predominantly in a trade or business at any time.
(e)Qualified real property
For purposes of this section, the term “qualified real property” means—
(1)any qualified improvement property described in section 168(e)(6), and
(2)any of the following improvements to nonresidential real property placed in service after the date such property was first placed in service:
(A)Roofs.
(B)Heating, ventilation, and air-conditioning property.
(C)Fire protection and alarm systems.
(D)Security systems.
(Added Pub. L. 85–866, title II, § 204(a), Sept. 2, 1958, 72 Stat. 1679; amended Pub. L. 87–834, § 13(c)(2), Oct. 16, 1962, 76 Stat. 1034; Pub. L. 91–172, title IV, § 401(f), Dec. 30, 1969, 83 Stat. 603; Pub. L. 94–455, title II, § 213(a), title XIX, § 1906(b)(13)(A), Oct. 4, 1976, 90 Stat. 1547, 1834; Pub. L. 97–34, title II, § 202(a), Aug. 13, 1981, 95 Stat. 219; Pub. L. 97–354, § 3(f), Oct. 19, 1982, 96 Stat. 1689; Pub. L. 97–448, title I, § 102(aa), Jan. 12, 1983, 96 Stat. 2369; Pub. L. 98–369, div. A, title I, § 13, July 18, 1984, 98 Stat. 505; Pub. L. 99–514, title II, §§ 201(d)(3), 202, Oct. 22, 1986, 100 Stat. 2139, 2142; Pub. L. 100–647, title I, § 1002(a)(19), (b)(1), Nov. 10, 1988, 102 Stat. 3356, 3357; Pub. L. 101–508, title XI, § 11813(b)(11), Nov. 5, 1990, 104 Stat. 1388–554; Pub. L. 103–66, title XIII, § 13116(a), Aug. 10, 1993, 107 Stat. 432; Pub. L. 104–188, title I, §§ 1111(a), 1702(h)(10), (19), Aug. 20, 1996, 110 Stat. 1758, 1874; Pub. L. 108–27, title II, § 202(a)–(e), May 28, 2003, 117 Stat. 757, 758; Pub. L. 108–357, title II, § 201, title VIII, § 910(a), Oct. 22, 2004, 118 Stat. 1429, 1659; Pub. L. 109–222, title I, § 101, May 17, 2006, 120 Stat. 346; Pub. L. 110–28, title VIII, § 8212(a)–(c), May 25, 2007, 121 Stat. 192; Pub. L. 110–185, title I, § 102(a), Feb. 13, 2008, 122 Stat. 618; Pub. L. 110–343, div. C, title VII, § 711(a), Oct. 3, 2008, 122 Stat. 3928; Pub. L. 111–5, div. B, title I, § 1202(a), Feb. 17, 2009, 123 Stat. 335; Pub. L. 111–147, title II, § 201(a), Mar. 18, 2010, 124 Stat. 77; Pub. L. 111–240, title II, § 2021(a)–(d), Sept. 27, 2010, 124 Stat. 2556, 2558; Pub. L. 111–312, title IV, § 402(a)–(e), title VII, § 737(b)(3), Dec. 17, 2010, 124 Stat. 3306, 3307, 3318; Pub. L. 112–240, title III, § 315(a)–(d), Jan. 2, 2013, 126 Stat. 2330, 2331; Pub. L. 113–295, div. A, title I, § 127(a)–(d), Dec. 19, 2014, 128 Stat. 4017; Pub. L. 114–113, div. Q, title I, § 124(a)–(f), Dec. 18, 2015, 129 Stat. 3053; Pub. L. 115–97, title I, §§ 11002(d)(1)(R), 13101(a)–(c), Dec. 22, 2017, 131 Stat. 2060, 2101, 2102; Pub. L. 115–141, div. U, title IV, § 401(b)(15)(A), (B), Mar. 23, 2018, 132 Stat. 1202; Pub. L. 119–21, title VII, § 70306(a), (b), July 4, 2025, 139 Stat. 197.)</v>
      </c>
      <c r="M3" s="4" t="str">
        <f>IFERROR(__xludf.DUMMYFUNCTION("""COMPUTED_VALUE"""),"Businesses can immediately deduct the full cost of qualifying equipment and software instead of depreciating it over time.")</f>
        <v>Businesses can immediately deduct the full cost of qualifying equipment and software instead of depreciating it over time.</v>
      </c>
      <c r="N3" s="4" t="str">
        <f>IFERROR(__xludf.DUMMYFUNCTION("""COMPUTED_VALUE"""),"Industries: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O3" s="4" t="str">
        <f>IFERROR(__xludf.DUMMYFUNCTION("""COMPUTED_VALUE"""),"Fixed Asset Accounts, Purchase Date, Asset Description, Original Cost, Accumulated Depreciation, Section 179/Bonus Depreciation Election, Chart of Accounts (for business type and floor plan financing interest), Vehicle Log (for 280F compliance), Item List"&amp;" (for computer software or media productions)")</f>
        <v>Fixed Asset Accounts, Purchase Date, Asset Description, Original Cost, Accumulated Depreciation, Section 179/Bonus Depreciation Election, Chart of Accounts (for business type and floor plan financing interest), Vehicle Log (for 280F compliance), Item List (for computer software or media productions)</v>
      </c>
      <c r="P3" s="4" t="str">
        <f>IFERROR(__xludf.DUMMYFUNCTION("""COMPUTED_VALUE"""),"🚨 Important: Section 179 Expensing Update for [Entity]
How this affects you::
Great news for [Year]\! Based on your [R&amp;D_Spend] in qualifying property investments, your business could be eligible for a significant tax deduction. We estimate your potenti"&amp;"al credit at [Credit_Estimate]. This incentive allows [Entity] to treat the cost of qualifying section 179 property—like equipment, software, and certain real property improvements—as an immediate expense rather than a capital charge. For the [Year] taxab"&amp;"le year, you can deduct up to $2,500,000 of the adjusted basis for assets placed in service this year.
✅ File Form 6765 to elect and claim your specific section 179 deductions
✅ Schedule a CPA review to ensure your property meet ""active conduct of trade"&amp;" or business"" requirements
✅ Update your QuickBooks tagging for all fixed assets to automate tracking and compliance
📚 Source: IRC Section 179
⚠️ Disclaimer: This template is for informational purposes only. Tax laws are subject to change and individu"&amp;"al circumstances vary. Please consult with a qualified tax professional to confirm eligibility and compliance for your specific entity.")</f>
        <v>🚨 Important: Section 179 Expensing Update for [Entity]
How this affects you::
Great news for [Year]\! Based on your [R&amp;D_Spend] in qualifying property investments, your business could be eligible for a significant tax deduction. We estimate your potential credit at [Credit_Estimate]. This incentive allows [Entity] to treat the cost of qualifying section 179 property—like equipment, software, and certain real property improvements—as an immediate expense rather than a capital charge. For the [Year] taxable year, you can deduct up to $2,500,000 of the adjusted basis for assets placed in service this year.
✅ File Form 6765 to elect and claim your specific section 179 deductions
✅ Schedule a CPA review to ensure your property meet "active conduct of trade or business" requirements
✅ Update your QuickBooks tagging for all fixed assets to automate tracking and compliance
📚 Source: IRC Section 179
⚠️ Disclaimer: This template is for informational purposes only. Tax laws are subject to change and individual circumstances vary. Please consult with a qualified tax professional to confirm eligibility and compliance for your specific entity.</v>
      </c>
      <c r="Q3" s="4" t="str">
        <f>IFERROR(__xludf.DUMMYFUNCTION("""COMPUTED_VALUE"""),"IRC Section 179 provides an immediate deduction for equipment and software costs, which lowers taxable income and reduces your effective tax rate in the year these assets are placed in service.")</f>
        <v>IRC Section 179 provides an immediate deduction for equipment and software costs, which lowers taxable income and reduces your effective tax rate in the year these assets are placed in service.</v>
      </c>
      <c r="R3" s="18" t="str">
        <f>IFERROR(__xludf.DUMMYFUNCTION("""COMPUTED_VALUE"""),"https://www.law.cornell.edu/uscode/text/26/179")</f>
        <v>https://www.law.cornell.edu/uscode/text/26/179</v>
      </c>
      <c r="S3" s="19">
        <f>IFERROR(__xludf.DUMMYFUNCTION("""COMPUTED_VALUE"""),46023.0)</f>
        <v>46023</v>
      </c>
      <c r="T3" s="4" t="str">
        <f>IFERROR(__xludf.DUMMYFUNCTION("""COMPUTED_VALUE"""),"ACTIVE")</f>
        <v>ACTIVE</v>
      </c>
      <c r="U3" s="4"/>
      <c r="V3" s="4"/>
      <c r="W3" s="4"/>
      <c r="X3" s="4"/>
      <c r="Y3" s="4"/>
      <c r="Z3" s="4"/>
    </row>
    <row r="4">
      <c r="A4" s="13" t="s">
        <v>13</v>
      </c>
      <c r="B4" s="13" t="s">
        <v>14</v>
      </c>
      <c r="C4" s="4" t="s">
        <v>133</v>
      </c>
      <c r="D4" s="4" t="s">
        <v>134</v>
      </c>
      <c r="E4" s="4" t="s">
        <v>135</v>
      </c>
      <c r="F4" s="1" t="s">
        <v>136</v>
      </c>
      <c r="G4" s="4" t="s">
        <v>137</v>
      </c>
      <c r="H4" s="16" t="s">
        <v>138</v>
      </c>
      <c r="I4" s="17">
        <v>46023.0</v>
      </c>
      <c r="J4" s="1" t="s">
        <v>128</v>
      </c>
      <c r="K4" s="4" t="str">
        <f>IFERROR(__xludf.DUMMYFUNCTION("""COMPUTED_VALUE"""),"§41")</f>
        <v>§41</v>
      </c>
      <c r="L4" s="4" t="str">
        <f>IFERROR(__xludf.DUMMYFUNCTION("""COMPUTED_VALUE"""),"§41(a): A credit is allowed against tax for increasing research activities. Qualified research expenses include wages, supplies, and contract research. Credit rate: 20% of current QREs over base amount, or 14% of QREs for alternative simplified credit. St"&amp;"artups may elect to apply up to $500K against payroll tax.")</f>
        <v>§41(a): A credit is allowed against tax for increasing research activities. Qualified research expenses include wages, supplies, and contract research. Credit rate: 20% of current QREs over base amount, or 14% of QREs for alternative simplified credit. Startups may elect to apply up to $500K against payroll tax.</v>
      </c>
      <c r="M4" s="4" t="str">
        <f>IFERROR(__xludf.DUMMYFUNCTION("""COMPUTED_VALUE"""),"Businesses and startups qualify for a tax credit worth 14% to 20% of qualified research expenses.")</f>
        <v>Businesses and startups qualify for a tax credit worth 14% to 20% of qualified research expenses.</v>
      </c>
      <c r="N4" s="4" t="str">
        <f>IFERROR(__xludf.DUMMYFUNCTION("""COMPUTED_VALUE"""),"Industries: [Technology, Life Sciences, Manufacturing, Biotechnology, Aerospace] | Entities: [Corporations, Partnerships, Limited Liability Companies]")</f>
        <v>Industries: [Technology, Life Sciences, Manufacturing, Biotechnology, Aerospace] | Entities: [Corporations, Partnerships, Limited Liability Companies]</v>
      </c>
      <c r="O4" s="4" t="str">
        <f>IFERROR(__xludf.DUMMYFUNCTION("""COMPUTED_VALUE"""),"Payroll Expenses (Wages), Supplies Expense, Contractor/Consultant Fees, R&amp;D Expense (Class/Account), Employee Time Tracking/Timesheets, Project Name, Project Description, Purchase Orders, Vendor Invoices, Form 941 (Payroll Tax), Gross Receipts (Sales)")</f>
        <v>Payroll Expenses (Wages), Supplies Expense, Contractor/Consultant Fees, R&amp;D Expense (Class/Account), Employee Time Tracking/Timesheets, Project Name, Project Description, Purchase Orders, Vendor Invoices, Form 941 (Payroll Tax), Gross Receipts (Sales)</v>
      </c>
      <c r="P4" s="4" t="str">
        <f>IFERROR(__xludf.DUMMYFUNCTION("""COMPUTED_VALUE"""),"🚨 Important: Research &amp; Development Tax Credit for [Entity]
How this affects you::
Great news for [Year]\! Based on your [R&amp;D_Spend] in qualified research expenses, your business could be eligible for a significant tax credit. We estimate your potential"&amp;" credit at [Credit_Estimate]. This incentive is designed to reward your innovation by allowing you to claim a credit for wages, supplies, and contract research, helping you reinvest in your company's growth.
✅ Ensure all qualified expenses are properly d"&amp;"ocumented for Form 6765
✅ Schedule a CPA review to verify your eligibility and maximize your credit
✅ Confirm that all R\&amp;D-related transactions are correctly tagged in QuickBooks
📚 Source: IRC Section 41
⚠️ Disclaimer: This template is for information"&amp;"al purposes only. Tax laws are subject to change and individual circumstances vary. Please consult with a qualified tax professional to confirm eligibility and compliance for your specific entity.")</f>
        <v>🚨 Important: Research &amp; Development Tax Credit for [Entity]
How this affects you::
Great news for [Year]\! Based on your [R&amp;D_Spend] in qualified research expenses, your business could be eligible for a significant tax credit. We estimate your potential credit at [Credit_Estimate]. This incentive is designed to reward your innovation by allowing you to claim a credit for wages, supplies, and contract research, helping you reinvest in your company's growth.
✅ Ensure all qualified expenses are properly documented for Form 6765
✅ Schedule a CPA review to verify your eligibility and maximize your credit
✅ Confirm that all R\&amp;D-related transactions are correctly tagged in QuickBooks
📚 Source: IRC Section 41
⚠️ Disclaimer: This template is for informational purposes only. Tax laws are subject to change and individual circumstances vary. Please consult with a qualified tax professional to confirm eligibility and compliance for your specific entity.</v>
      </c>
      <c r="Q4" s="4" t="str">
        <f>IFERROR(__xludf.DUMMYFUNCTION("""COMPUTED_VALUE"""),"IRC Section 41 provides a dollar-for-dollar credit that directly reduces your effective tax rate while incentivizing a higher R&amp;D intensity by lowering the after-tax cost of innovation.")</f>
        <v>IRC Section 41 provides a dollar-for-dollar credit that directly reduces your effective tax rate while incentivizing a higher R&amp;D intensity by lowering the after-tax cost of innovation.</v>
      </c>
      <c r="R4" s="18" t="str">
        <f>IFERROR(__xludf.DUMMYFUNCTION("""COMPUTED_VALUE"""),"https://www.law.cornell.edu/uscode/text/26/41")</f>
        <v>https://www.law.cornell.edu/uscode/text/26/41</v>
      </c>
      <c r="S4" s="19">
        <f>IFERROR(__xludf.DUMMYFUNCTION("""COMPUTED_VALUE"""),46023.0)</f>
        <v>46023</v>
      </c>
      <c r="T4" s="4" t="str">
        <f>IFERROR(__xludf.DUMMYFUNCTION("""COMPUTED_VALUE"""),"ACTIVE")</f>
        <v>ACTIVE</v>
      </c>
      <c r="U4" s="4"/>
      <c r="V4" s="4"/>
      <c r="W4" s="4"/>
      <c r="X4" s="4"/>
      <c r="Y4" s="4"/>
      <c r="Z4" s="4"/>
    </row>
    <row r="5">
      <c r="A5" s="13" t="s">
        <v>16</v>
      </c>
      <c r="B5" s="13" t="s">
        <v>17</v>
      </c>
      <c r="C5" s="13" t="s">
        <v>139</v>
      </c>
      <c r="D5" s="13" t="s">
        <v>140</v>
      </c>
      <c r="E5" s="13" t="s">
        <v>141</v>
      </c>
      <c r="F5" s="1" t="s">
        <v>142</v>
      </c>
      <c r="G5" s="13" t="s">
        <v>143</v>
      </c>
      <c r="H5" s="16" t="s">
        <v>144</v>
      </c>
      <c r="I5" s="17">
        <v>46023.0</v>
      </c>
      <c r="J5" s="1" t="s">
        <v>128</v>
      </c>
      <c r="K5" s="4" t="str">
        <f>IFERROR(__xludf.DUMMYFUNCTION("""COMPUTED_VALUE"""),"§3121")</f>
        <v>§3121</v>
      </c>
      <c r="L5" s="4" t="str">
        <f>IFERROR(__xludf.DUMMYFUNCTION("""COMPUTED_VALUE"""),"Defines wages for FICA tax purposes. For 2026, the Social Security wage base limit is $184,500. Wages above this are exempt from the 6.2% Social Security tax.")</f>
        <v>Defines wages for FICA tax purposes. For 2026, the Social Security wage base limit is $184,500. Wages above this are exempt from the 6.2% Social Security tax.</v>
      </c>
      <c r="M5" s="4" t="str">
        <f>IFERROR(__xludf.DUMMYFUNCTION("""COMPUTED_VALUE"""),"IRC §3121 limits FICA taxes to the first $184,500 of an employee's wages in 2026.")</f>
        <v>IRC §3121 limits FICA taxes to the first $184,500 of an employee's wages in 2026.</v>
      </c>
      <c r="N5" s="4" t="str">
        <f>IFERROR(__xludf.DUMMYFUNCTION("""COMPUTED_VALUE"""),"Industries: [Technology, Professional Services, Finance, Healthcare, Manufacturing] | Entities: [Corporations, Limited Liability Companies, Partnerships]")</f>
        <v>Industries: [Technology, Professional Services, Finance, Healthcare, Manufacturing] | Entities: [Corporations, Limited Liability Companies, Partnerships]</v>
      </c>
      <c r="O5" s="4" t="str">
        <f>IFERROR(__xludf.DUMMYFUNCTION("""COMPUTED_VALUE"""),"Payroll Expenses: Wages, Payroll Expenses: Taxes, Payroll Liabilities: Federal Taxes (941/944), Employee Profile (Tax Withholding), Payroll Item List, Payroll Summary Report, Payroll Tax and Wage Summary Report, Taxable Wage Audit Report, W-2 Forms")</f>
        <v>Payroll Expenses: Wages, Payroll Expenses: Taxes, Payroll Liabilities: Federal Taxes (941/944), Employee Profile (Tax Withholding), Payroll Item List, Payroll Summary Report, Payroll Tax and Wage Summary Report, Taxable Wage Audit Report, W-2 Forms</v>
      </c>
      <c r="P5" s="4" t="str">
        <f>IFERROR(__xludf.DUMMYFUNCTION("""COMPUTED_VALUE"""),"🚨 Important: FICA Wage Base Limit Update for [Entity]
How this affects you::
For the 2026 tax year, the Social Security wage base is set at [Wage_Base]. This means that for your [Employee_Count] employees, any wages paid above this threshold are exempt "&amp;"from the 6.2% Social Security tax. Once an employee's year-to-date earnings surpass this limit, you should stop withholding the 6.2% employee portion and stop paying the 6.2% employer portion for the remainder of the year.
✅ Perform a payroll review to i"&amp;"dentify employees approaching the [Wage_Base] limit
✅ Verify that year-to-end W-2 wage reporting correctly reflects the Social Security cap
✅ Ensure all high-earner payroll items are correctly tagged in QuickBooks for accurate tax tracking
📚 Source: IRC"&amp;" Section 3121
⚠️ Disclaimer: This template is for informational purposes only. Tax laws are subject to change and individual circumstances vary. Please consult with a qualified tax professional to confirm eligibility and compliance for your specific enti"&amp;"ty.")</f>
        <v>🚨 Important: FICA Wage Base Limit Update for [Entity]
How this affects you::
For the 2026 tax year, the Social Security wage base is set at [Wage_Base]. This means that for your [Employee_Count] employees, any wages paid above this threshold are exempt from the 6.2% Social Security tax. Once an employee's year-to-date earnings surpass this limit, you should stop withholding the 6.2% employee portion and stop paying the 6.2% employer portion for the remainder of the year.
✅ Perform a payroll review to identify employees approaching the [Wage_Base] limit
✅ Verify that year-to-end W-2 wage reporting correctly reflects the Social Security cap
✅ Ensure all high-earner payroll items are correctly tagged in QuickBooks for accurate tax tracking
📚 Source: IRC Section 3121
⚠️ Disclaimer: This template is for informational purposes only. Tax laws are subject to change and individual circumstances vary. Please consult with a qualified tax professional to confirm eligibility and compliance for your specific entity.</v>
      </c>
      <c r="Q5" s="4" t="str">
        <f>IFERROR(__xludf.DUMMYFUNCTION("""COMPUTED_VALUE"""),"IRC Section 3121 improves cash flow and lowers your effective payroll tax ratio by exempting employee wages above $184,500 from the 6.2% Social Security tax.")</f>
        <v>IRC Section 3121 improves cash flow and lowers your effective payroll tax ratio by exempting employee wages above $184,500 from the 6.2% Social Security tax.</v>
      </c>
      <c r="R5" s="18" t="str">
        <f>IFERROR(__xludf.DUMMYFUNCTION("""COMPUTED_VALUE"""),"https://www.law.cornell.edu/uscode/text/26/3121")</f>
        <v>https://www.law.cornell.edu/uscode/text/26/3121</v>
      </c>
      <c r="S5" s="19">
        <f>IFERROR(__xludf.DUMMYFUNCTION("""COMPUTED_VALUE"""),46023.0)</f>
        <v>46023</v>
      </c>
      <c r="T5" s="4" t="str">
        <f>IFERROR(__xludf.DUMMYFUNCTION("""COMPUTED_VALUE"""),"ACTIVE")</f>
        <v>ACTIVE</v>
      </c>
      <c r="U5" s="4"/>
      <c r="V5" s="4"/>
      <c r="W5" s="4"/>
      <c r="X5" s="4"/>
      <c r="Y5" s="4"/>
      <c r="Z5" s="4"/>
    </row>
    <row r="6">
      <c r="A6" s="4"/>
      <c r="B6" s="13" t="s">
        <v>19</v>
      </c>
      <c r="C6" s="4"/>
      <c r="D6" s="4"/>
      <c r="E6" s="4"/>
      <c r="F6" s="4"/>
      <c r="G6" s="4"/>
      <c r="H6" s="4"/>
      <c r="I6" s="17">
        <v>46023.0</v>
      </c>
      <c r="J6" s="1" t="s">
        <v>128</v>
      </c>
      <c r="K6" s="4"/>
      <c r="L6" s="4" t="str">
        <f>IFERROR(__xludf.DUMMYFUNCTION("""COMPUTED_VALUE"""),"(g)Agricultural labor
For purposes of this chapter, the term “agricultural labor” includes all service performed—
(1)on a farm, in the employ of any person, in connection with cultivating the soil, or in connection with raising or harvesting any agricultu"&amp;"ral or horticultural commodity, including the raising, shearing, feeding, caring for, training, and management of livestock, bees, poultry, and fur-bearing animals and wildlife;
(2)in the employ of the owner or tenant or other operator of a farm, in conne"&amp;"ction with the operation, management, conservation, improvement, or maintenance of such farm and its tools and equipment, or in salvaging timber or clearing land of brush and other debris left by a hurricane, if the major part of such service is performed"&amp;" on a farm;
(3)in connection with the production or harvesting of any commodity defined as an agricultural commodity in section 15(g) of the Agricultural Marketing Act, as amended (12 U.S.C. 1141j), or in connection with the ginning of cotton, or in conne"&amp;"ction with the operation or maintenance of ditches, canals, reservoirs, or waterways, not owned or operated for profit, used exclusively for supplying and storing water for farming purposes;
(4)
(A)in the employ of the operator of a farm in handling, plan"&amp;"ting, drying, packing, packaging, processing, freezing, grading, storing, or delivering to storage or to market or to a carrier for transportation to market, in its unmanufactured state, any agricultural or horticultural commodity; but only if such operat"&amp;"or produced more than one-half of the commodity with respect to which such service is performed;
(B)in the employ of a group of operators of farms (other than a cooperative organization) in the performance of service described in subparagraph (A), but onl"&amp;"y if such operators produced all of the commodity with respect to which such service is performed. For purposes of this subparagraph, any unincorporated group of operators shall be deemed a cooperative organization if the number of operators comprising su"&amp;"ch group is more than 20 at any time during the calendar year in which such service is performed;
(C)the provisions of subparagraphs (A) and (B) shall not be deemed to be applicable with respect to service performed in connection with commercial canning o"&amp;"r commercial freezing or in connection with any agricultural or horticultural commodity after its delivery to a terminal market for distribution for consumption; or
(5)on a farm operated for profit if such service is not in the course of the employer’s tr"&amp;"ade or business.
As used in this subsection, the term “farm” includes stock, dairy, poultry, fruit, fur-bearing animal, and truck farms, plantations, ranches, nurseries, ranges, greenhouses or other similar structures used primarily for the raising of agr"&amp;"icultural or horticultural commodities, and orchards.
(h)American employer
For purposes of this chapter, the term “American employer” means an employer which is—
(1)the United States or any instrumentality thereof,
(2)an individual who is a resident of th"&amp;"e United States,
(3)a partnership, if two-thirds or more of the partners are residents of the United States,
(4)a trust, if all of the trustees are residents of the United States, or
(5)a corporation organized under the laws of the United States or of any"&amp;" State.
(i)Computation of wages in certain cases
(1)Domestic service
For purposes of this chapter, in the case of domestic service described in subsection (a)(7)(B), any payment of cash remuneration for such service which is more or less than a whole-doll"&amp;"ar amount shall, under such conditions and to such extent as may be prescribed by regulations made under this chapter, be computed to the nearest dollar. For the purpose of the computation to the nearest dollar, the payment of a fractional part of a dolla"&amp;"r shall be disregarded unless it amounts to one-half dollar or more, in which case it shall be increased to $1. The amount of any payment of cash remuneration so computed to the nearest dollar shall, in lieu of the amount actually paid, be deemed to const"&amp;"itute the amount of cash remuneration for purposes of subsection (a)(7)(B).
(2)Service in the uniformed services
For purposes of this chapter, in the case of an individual performing service, as a member of a uniformed service, to which the provisions of"&amp;" subsection (m)(1) are applicable, the term “wages” shall, subject to the provisions of subsection (a)(1) of this section, include as such individual’s remuneration for such service only (A) his basic pay as described in chapter 3 and section 1009 of titl"&amp;"e 37, United States Code, in the case of an individual performing service to which subparagraph (A) of such subsection (m)(1) applies, or (B) his compensation for such service as determined under section 206(a) of title 37, United States Code, in the case"&amp;" of an individual performing service to which subparagraph (B) of such subsection (m)(1) applies.
(3)Peace Corps volunteer service
For purposes of this chapter, in the case of an individual performing service, as a volunteer or volunteer leader within th"&amp;"e meaning of the Peace Corps Act, to which the provisions of section 3121(p) are applicable, the term “wages” shall, subject to the provisions of subsection (a)(1) of this section, include as such individual’s remuneration for such service only amounts pa"&amp;"id pursuant to section 5(c) or 6(1) of the Peace Corps Act.
(4)Service performed by certain members of religious orders
For purposes of this chapter, in any case where an individual is a member of a religious order (as defined in subsection (r)(2)) perfo"&amp;"rming service in the exercise of duties required by such order, and an election of coverage under subsection (r) is in effect with respect to such order or with respect to the autonomous subdivision thereof to which such member belongs, the term “wages” s"&amp;"hall, subject to the provisions of subsection (a)(1), include as such individual’s remuneration for such service the fair market value of any board, lodging, clothing, and other perquisites furnished to such member by such order or subdivision thereof or "&amp;"by any other person or organization pursuant to an agreement with such order or subdivision, except that the amount included as such individual’s remuneration under this paragraph shall not be less than $100 a month.
(5)Service performed by certain retir"&amp;"ed justices and judges
For purposes of this chapter, in the case of an individual performing service under the provisions of section 294 of title 28, United States Code (relating to assignment of retired justices and judges to active duty), the term “wage"&amp;"s” shall not include any payment under section 371(b) of such title 28 which is received during the period of such service.
(j)Covered transportation service
For purposes of this chapter—
(1)Existing transportation systems—General rule
Except as provided"&amp;" in paragraph (2), all service performed in the employ of a State or political subdivision in connection with its operation of a public transportation system shall constitute covered transportation service if any part of the transportation system was acqu"&amp;"ired from private ownership after 1936 and prior to 1951.
(2)Existing transportation systems—Cases in which no transportation employees, or only certain employees, are covered
Service performed in the employ of a State or political subdivision in connect"&amp;"ion with the operation of its public transportation system shall not constitute covered transportation service if—
(A)any part of the transportation system was acquired from private ownership after 1936 and prior to 1951, and substantially all service in "&amp;"connection with the operation of the transportation system was, on December 31, 1950, covered under a general retirement system providing benefits which, by reason of a provision of the State constitution dealing specifically with retirement systems of th"&amp;"e State or political subdivisions thereof, cannot be diminished or impaired; or
(B)no part of the transportation system operated by the State or political subdivision on December 31, 1950, was acquired from private ownership after 1936 and prior to 1951;
"&amp;"except that if such State or political subdivision makes an acquisition after 1950 from private ownership of any part of its transportation system, then, in the case of any employee who—
(C)became an employee of such State or political subdivision in conn"&amp;"ection with and at the time of its acquisition after 1950 of such part, and
(D)prior to such acquisition rendered service in employment (including as employment service covered by an agreement under section 218 of the Social Security Act) in connection wi"&amp;"th the operation of such part of the transportation system acquired by the State or political subdivision,
the service of such employee in connection with the operation of the transportation system shall constitute covered transportation service, commenci"&amp;"ng with the first day of the third calendar quarter following the calendar quarter in which the acquisition of such part took place, unless on such first day such service of such employee is covered by a general retirement system which does not, with resp"&amp;"ect to such employee, contain special provisions applicable only to employees described in subparagraph (C).
(3)Transportation systems acquired after 1950
All service performed in the employ of a State or political subdivision thereof in connection with i"&amp;"ts operation of a public transportation system shall constitute covered transportation service if the transportation system was not operated by the State or political subdivision prior to 1951 and, at the time of its first acquisition (after 1950) from pr"&amp;"ivate ownership of any part of its transportation system, the State or political subdivision did not have a general retirement system covering substantially all service performed in connection with the operation of the transportation system.
(4)Definitio"&amp;"ns
For purposes of this subsection—
(A)The term “general retirement system” means any pension, annuity, retirement, or similar fund or system established by a State or by a political subdivision thereof for employees of the State, political subdivision, o"&amp;"r both; but such term shall not include such a fund or system which covers only service performed in positions connected with the operation of its public transportation system.
(B)A transportation system or a part thereof shall be considered to have been "&amp;"acquired by a State or political subdivision from private ownership if prior to the acquisition service performed by employees in connection with the operation of the system or part thereof acquired constituted employment under this chapter or subchapter "&amp;"A of chapter 9 of the Internal Revenue Code of 1939 or was covered by an agreement made pursuant to section 218 of the Social Security Act and some of such employees became employees of the State or political subdivision in connection with and at the time"&amp;" of such acquisition.
(C)The term “political subdivision” includes an instrumentality of—
(i)a State,
(ii)one or more political subdivisions of a State, or
(iii)a State and one or more of its political subdivisions.
[(k)Repealed. Pub. L. 98–21, title I, §"&amp;" 102(b)(2), Apr. 20, 1983, 97 Stat. 71]
(l)Agreements entered into by American employers with respect to foreign affiliates
(1)Agreement with respect to certain employees of foreign affiliate
The Secretary shall, at the American employer’s request, enter "&amp;"into an agreement (in such manner and form as may be prescribed by the Secretary) with any American employer (as defined in subsection (h)) who desires to have the insurance system established by title II of the Social Security Act extended to service per"&amp;"formed outside the United States in the employ of any 1 or more of such employer’s foreign affiliates (as defined in paragraph (6)) by all employees who are citizens or residents of the United States, except that the agreement shall not apply to any servi"&amp;"ce performed by, or remuneration paid to, an employee if such service or remuneration would be excluded from the term “employment” or “wages”, as defined in this section, had the service been performed in the United States. Such agreement may be amended a"&amp;"t any time so as to be made applicable, in the same manner and under the same conditions, with respect to any other foreign affiliate of such American employer. Such agreement shall be applicable with respect to citizens or residents of the United States "&amp;"who, on or after the effective date of the agreement, are employees of and perform services outside the United States for any foreign affiliate specified in the agreement. Such agreement shall provide—
(A)that the American employer shall pay to the Secret"&amp;"ary, at such time or times as the Secretary may by regulations prescribe, amounts equivalent to the sum of the taxes which would be imposed by sections 3101 and 3111 (including amounts equivalent to the interest, additions to the taxes, additional amounts"&amp;", and penalties which would be applicable) with respect to the remuneration which would be wages if the services covered by the agreement constituted employment as defined in this section; and
(B)that the American employer will comply with such regulation"&amp;"s relating to payments and reports as the Secretary may prescribe to carry out the purposes of this subsection.
(2)Effective period of agreement
An agreement entered into pursuant to paragraph (1) shall be in effect for the period beginning with the first"&amp;" day of the calendar quarter in which such agreement is entered into or the first day of the succeeding calendar quarter, as may be specified in the agreement; except that in case such agreement is amended to include the services performed for any other a"&amp;"ffiliate and such amendment is executed after the first month following the first calendar quarter for which the agreement is in effect, the agreement shall be in effect with respect to service performed for such other affiliate only after the calendar qu"&amp;"arter in which such amendment is executed. Notwithstanding any other provision of this subsection, the period for which any such agreement is effective with respect to any foreign entity shall terminate at the end of any calendar quarter in which the fore"&amp;"ign entity, at any time in such quarter, ceases to be a foreign affiliate as defined in paragraph (6).
(3)No termination of agreement
No agreement under this subsection may be terminated, either in its entirety or with respect to any foreign affiliate, o"&amp;"n or after June 15, 1989.
(4)Deposits in trust funds
For purposes of section 201 of the Social Security Act, relating to appropriations to the Federal Old-Age and Survivors Insurance Trust Fund and the Federal Disability Insurance Trust Fund, such remune"&amp;"ration—
(A)paid for services covered by an agreement entered into pursuant to paragraph (1) as would be wages if the services constituted employment, and
(B)as is reported to the Secretary pursuant to the provisions of such agreement or of the regulations"&amp;" issued under this subsection,
shall be considered wages subject to the taxes imposed by this chapter.
(5)Overpayments and underpayments
(A)If more or less than the correct amount due under an agreement entered into pursuant to this subsection is paid wit"&amp;"h respect to any payment of remuneration, proper adjustments with respect to the amounts due under such agreement shall be made, without interest, in such manner and at such times as may be required by regulations prescribed by the Secretary.
(B)If an ove"&amp;"rpayment cannot be adjusted under subparagraph (A), the amount thereof shall be paid by the Secretary, through the Fiscal Service of the Treasury Department, but only if a claim for such overpayment is filed with the Secretary within two years from the ti"&amp;"me such overpayment was made.
(6)Foreign affiliate defined
For purposes of this subsection and section 210(a) of the Social Security Act—
(A)In general
A foreign affiliate of an American employer is any foreign entity in which such American employer has n"&amp;"ot less than a 10-percent interest.
(B)Determination of 10-percent interest
For purposes of subparagraph (A), an American employer has a 10-percent interest in any entity if such employer has such an interest directly (or through one or more entities)—
("&amp;"i)in the case of a corporation, in the voting stock thereof, and
(ii)in the case of any other entity, in the profits thereof.
(7)American employer as separate entity
Each American employer which enters into an agreement pursuant to paragraph (1) of this s"&amp;"ubsection shall, for purposes of this subsection and section 6413(c)(2)(C), relating to special refunds in the case of employees of certain foreign entities, be considered an employer in its capacity as a party to such agreement separate and distinct from"&amp;" its identity as a person employing individuals on its own account.
(8)Regulations
Regulations of the Secretary to carry out the purposes of this subsection shall be designed to make the requirements imposed on American employers with respect to services"&amp;" covered by an agreement entered into pursuant to this subsection the same, so far as practicable, as those imposed upon employers pursuant to this title with respect to the taxes imposed by this chapter.
(m)Service in the uniformed services
For purposes"&amp;" of this chapter—
(1)Inclusion of service
The term “employment” shall, notwithstanding the provisions of subsection (b) of this section, include—
(A)service performed by an individual as a member of a uniformed service on active duty, but such term shall "&amp;"not include any such service which is performed while on leave without pay, and
(B)service performed by an individual as a member of a uniformed service on inactive duty training.
(2)Active duty
The term “active duty” means “active duty” as described in p"&amp;"aragraph (21) of section 101 of title 38, United States Code, except that it shall also include “active duty for training” as described in paragraph (22) of such section.
(3)Inactive duty training
The term “inactive duty training” means “inactive duty tr"&amp;"aining” as described in paragraph (23) of such section 101.
(n)Member of a uniformed service
For purposes of this chapter, the term “member of a uniformed service” means any person appointed, enlisted, or inducted in a component of the Army, Navy, Air Fo"&amp;"rce, Marine Corps, or Coast Guard (including a reserve component as defined in section 101(27) of title 38, United States Code), or in one of those services without specification of component, or as a commissioned officer of the Coast and Geodetic Survey,"&amp;" the National Oceanic and Atmospheric Administration Corps, or the Regular or Reserve Corps [2] of the Public Health Service, and any person serving in the Army or Air Force under call or conscription. The term includes—
(1)a retired member of any of thos"&amp;"e services;
(2)a member of the Fleet Reserve or Fleet Marine Corps Reserve;
(3)a cadet at the United States Military Academy, a midshipman at the United States Naval Academy, and a cadet at the United States Coast Guard Academy or United States Air Force "&amp;"Academy;
(4)a member of the Reserve Officers’ Training Corps, the Naval Reserve Officers’ Training Corps, or the Air Force Reserve Officers’ Training Corps, when ordered to annual training duty for fourteen days or more, and while performing authorized tr"&amp;"avel to and from that duty; and
(5)any person while en route to or from, or at, a place for final acceptance or for entry upon active duty in the military, naval, or air service—
(A)who has been provisionally accepted for such duty; or
(B)who, under the M"&amp;"ilitary Selective Service Act, has been selected for active military, naval, or air service;
and has been ordered or directed to proceed to such place.
The term does not include a temporary member of the Coast Guard Reserve.
(o)Crew leader
For purposes of"&amp;" this chapter, the term “crew leader” means an individual who furnishes individuals to perform agricultural labor for another person, if such individual pays (either on his own behalf or on behalf of such person) the individuals so furnished by him for th"&amp;"e agricultural labor performed by them and if such individual has not entered into a written agreement with such person whereby such individual has been designated as an employee of such person; and such individuals furnished by the crew leader to perform"&amp;" agricultural labor for another person shall be deemed to be the employees of such crew leader. For purposes of this chapter and chapter 2, a crew leader shall, with respect to service performed in furnishing individuals to perform agricultural labor for "&amp;"another person and service performed as a member of the crew, be deemed not to be an employee of such other person.
(p)Peace Corps volunteer service
For purposes of this chapter, the term “employment” shall, notwithstanding the provisions of subsection ("&amp;"b) of this section, include service performed by an individual as a volunteer or volunteer leader within the meaning of the Peace Corps Act.
(q)Tips included for both employee and employer taxes
For purposes of this chapter, tips received by an employee "&amp;"in the course of his employment shall be considered remuneration for such employment (and deemed to have been paid by the employer for purposes of subsections (a) and (b) of section 3111). Such remuneration shall be deemed to be paid at the time a written"&amp;" statement including such tips is furnished to the employer pursuant to section 6053(a) or (if no statement including such tips is so furnished) at the time received; except that, in determining the employer’s liability in connection with the taxes impose"&amp;"d by section 3111 with respect to such tips in any case where no statement including such tips was so furnished (or to the extent that the statement so furnished was inaccurate or incomplete), such remuneration shall be deemed for purposes of subtitle F t"&amp;"o be paid on the date on which notice and demand for such taxes is made to the employer by the Secretary.
(r)Election of coverage by religious orders
(1)Certificate of election by order
A religious order whose members are required to take a vow of povert"&amp;"y, or any autonomous subdivision of such order, may file a certificate (in such form and manner, and with such official, as may be prescribed by regulations under this chapter) electing to have the insurance system established by title II of the Social Se"&amp;"curity Act extended to services performed by its members in the exercise of duties required by such order or such subdivision thereof. Such certificate of election shall provide that—
(A)such election of coverage by such order or subdivision shall be irre"&amp;"vocable;
(B)such election shall apply to all current and future members of such order, or in the case of a subdivision thereof to all current and future members of such order who belong to such subdivision;
(C)all services performed by a member of such an"&amp;" order or subdivision in the exercise of duties required by such order or subdivision shall be deemed to have been performed by such member as an employee of such order or subdivision; and
(D)the wages of each member, upon which such order or subdivision "&amp;"shall pay the taxes imposed by sections 3101 and 3111, will be determined as provided in subsection (i)(4).
(2)Definition of member
For purposes of this subsection, a member of a religious order means any individual who is subject to a vow of poverty as a"&amp;" member of such order and who performs tasks usually required (and to the extent usually required) of an active member of such order and who is not considered retired because of old age or total disability.
(3)Effective date for election
(A)A certificate"&amp;" of election of coverage shall be in effect, for purposes of subsection (b)(8) and for purposes of section 210(a)(8) of the Social Security Act, for the period beginning with whichever of the following may be designated by the order or subdivision thereof"&amp;":
(i)the first day of the calendar quarter in which the certificate is filed,
(ii)the first day of the calendar quarter succeeding such quarter, or
(iii)the first day of any calendar quarter preceding the calendar quarter in which the certificate is filed"&amp;", except that such date may not be earlier than the first day of the twentieth calendar quarter preceding the quarter in which such certificate is filed.
Whenever a date is designated under clause (iii), the election shall apply to services performed befo"&amp;"re the quarter in which the certificate is filed only if the member performing such services was a member at the time such services were performed and is living on the first day of the quarter in which such certificate is filed.
(B)If a certificate of ele"&amp;"ction filed pursuant to this subsection is effective for one or more calendar quarters prior to the quarter in which such certificate is filed, then—
(i)for purposes of computing interest and for purposes of section 6651 (relating to addition to tax for f"&amp;"ailure to file tax return), the due date for the return and payment of the tax for such prior calendar quarters resulting from the filing of such certificate shall be the last day of the calendar month following the calendar quarter in which the certifica"&amp;"te is filed; and
(ii)the statutory period for the assessment of such tax shall not expire before the expiration of 3 years from such due date.
[(4)Repealed. Pub. L. 98–21, title I, § 102(b)(3)(B), Apr. 20, 1983, 97 Stat. 71]
(s)Concurrent employment by tw"&amp;"o or more employers
For purposes of sections 3102, 3111, and 3121(a)(1), if two or more related corporations concurrently employ the same individual and compensate such individual through a common paymaster which is one of such corporations, each such cor"&amp;"poration shall be considered to have paid as remuneration to such individual only the amounts actually disbursed by it to such individual and shall not be considered to have paid as remuneration to such individual amounts actually disbursed to such indivi"&amp;"dual by another of such corporations.
[(t)Repealed. Pub. L. 100–203, title IX, § 9006(b)(2), Dec. 22, 1987, 101 Stat. 1330–289]
(u)Application of hospital insurance tax to Federal, State, and local employment
(1)Federal employment
For purposes of the tax"&amp;"es imposed by sections 3101(b) and 3111(b), subsection (b) shall be applied without regard to paragraph (5) thereof.
(2)State and local employment
For purposes of the taxes imposed by sections 3101(b) and 3111(b)—
(A)In general
Except as provided in subp"&amp;"aragraphs (B) and (C), subsection (b) shall be applied without regard to paragraph (7) thereof.
(B)Exception for certain services
Service shall not be treated as employment by reason of subparagraph (A) if—
(i)the service is included under an agreement u"&amp;"nder section 218 of the Social Security Act, or
(ii)the service is performed—
(I)by an individual who is employed by a State or political subdivision thereof to relieve him from unemployment,
(II)in a hospital, home, or other institution by a patient or i"&amp;"nmate thereof as an employee of a State or political subdivision thereof or of the District of Columbia,
(III)by an individual, as an employee of a State or political subdivision thereof or of the District of Columbia, serving on a temporary basis in case"&amp;" of fire, storm, snow, earthquake, flood or other similar emergency,
(IV)by any individual as an employee included under section 5351(2) of title 5, United States Code (relating to certain interns, student nurses, and other student employees of hospitals "&amp;"of the District of Columbia Government), other than as a medical or dental intern or a medical or dental resident in training,
(V)by an election official or election worker if the remuneration paid in a calendar year for such service is less than $1,000 w"&amp;"ith respect to service performed during any calendar year commencing on or after January 1, 1995, ending on or before December 31, 1999, and the adjusted amount determined under section 218(c)(8)(B) of the Social Security Act for any calendar year commenc"&amp;"ing on or after January 1, 2000, with respect to service performed during such calendar year, or
(VI)by an individual in a position described in section 1402(c)(2)(E).
As used in this subparagraph, the terms “State” and “political subdivision” have the me"&amp;"anings given those terms in section 218(b) of the Social Security Act.
(C)Exception for current employment which continues
Service performed for an employer shall not be treated as employment by reason of subparagraph (A) if—
(i)such service would be excl"&amp;"uded from the term “employment” for purposes of this chapter if subparagraph (A) did not apply;
(ii)such service is performed by an individual—
(I)who was performing substantial and regular service for remuneration for that employer before April 1, 1986,
"&amp;"(II)who is a bona fide employee of that employer on March 31, 1986, and
(III)whose employment relationship with that employer was not entered into for purposes of meeting the requirements of this subparagraph; and
(iii)the employment relationship with tha"&amp;"t employer has not been terminated after March 31, 1986.
(D)Treatment of agencies and instrumentalities
For purposes of subparagraph (C), under regulations—
(i)All agencies and instrumentalities of a State (as defined in section 218(b) of the Social Secur"&amp;"ity Act) or of the District of Columbia shall be treated as a single employer.
(ii)All agencies and instrumentalities of a political subdivision of a State (as so defined) shall be treated as a single employer and shall not be treated as described in clau"&amp;"se (i).
(3)Medicare qualified government employment
For purposes of this chapter, the term “medicare qualified government employment” means service which—
(A)is employment (as defined in subsection (b)) with the application of paragraphs (1) and (2), but
"&amp;"(B)would not be employment (as so defined) without the application of such paragraphs.
(v)Treatment of certain deferred compensation and salary reduction arrangements
(1)Certain employer contributions treated as wages
Nothing in any paragraph of subsectio"&amp;"n (a) (other than paragraph (1)) shall exclude from the term “wages”—
(A)any employer contribution under a qualified cash or deferred arrangement (as defined in section 401(k)) to the extent not included in gross income by reason of section 402(e)(3) or c"&amp;"onsisting of designated Roth contributions (as defined in section 402A(c)), or
(B)any amount treated as an employer contribution under section 414(h)(2) where the pickup referred to in such section is pursuant to a salary reduction agreement (whether evid"&amp;"enced by a written instrument or otherwise).
(2)Treatment of certain nonqualified deferred compensation plans
(A)In general
Any amount deferred under a nonqualified deferred compensation plan shall be taken into account for purposes of this chapter as of "&amp;"the later of—
(i)when the services are performed, or
(ii)when there is no substantial risk of forfeiture of the rights to such amount.
The preceding sentence shall not apply to any excess parachute payment (as defined in section 280G(b)) or to any specifi"&amp;"ed stock compensation (as defined in section 4985) on which tax is imposed by section 4985.
(B)Taxed only once
Any amount taken into account as wages by reason of subparagraph (A) (and the income attributable thereto) shall not thereafter be treated as wa"&amp;"ges for purposes of this chapter.
(C)Nonqualified deferred compensation plan
For purposes of this paragraph, the term “nonqualified deferred compensation plan” means any plan or other arrangement for deferral of compensation other than a plan described i"&amp;"n subsection (a)(5).
(3)Exempt governmental deferred compensation plan
For purposes of subsection (a)(5), the term “exempt governmental deferred compensation plan” means any plan providing for deferral of compensation established and maintained for its e"&amp;"mployees by the United States, by a State or political subdivision thereof, or by an agency or instrumentality of any of the foregoing. Such term shall not include—
(A)any plan to which section 83, 402(b), 403(c), 457(a), or 457(f)(1) applies,
(B)any annu"&amp;"ity contract described in section 403(b), and
(C)the Thrift Savings Fund (within the meaning of subchapter III of chapter 84 of title 5, United States Code).
(w)Exemption of churches and qualified church-controlled organizations
(1)General rule
Any church"&amp;" or qualified church-controlled organization (as defined in paragraph (3)) may make an election within the time period described in paragraph (2), in accordance with such procedures as the Secretary determines to be appropriate, that services performed in"&amp;" the employ of such church or organization shall be excluded from employment for purposes of title II of the Social Security Act and this chapter. An election may be made under this subsection only if the church or qualified church-controlled organization"&amp;" states that such church or organization is opposed for religious reasons to the payment of the tax imposed under section 3111.
(2)Timing and duration of election
An election under this subsection must be made prior to the first date, more than 90 days a"&amp;"fter July 18, 1984, on which a quarterly employment tax return for the tax imposed under section 3111 is due, or would be due but for the election, from such church or organization. An election under this subsection shall apply to current and future emplo"&amp;"yees, and shall apply to service performed after December 31, 1983. The election may be revoked by the church or organization under regulations prescribed by the Secretary. The election shall be revoked by the Secretary if such church or organization fail"&amp;"s to furnish the information required under section 6051 to the Secretary for a period of 2 years or more with respect to remuneration paid for such services by such church or organization, and, upon request by the Secretary, fails to furnish all such pre"&amp;"viously unfurnished information for the period covered by the election. Any revocation under the preceding sentence shall apply retroactively to the beginning of the 2-year period for which the information was not furnished.
(3)Definitions
(A)For purpose"&amp;"s of this subsection, the term “church” means a church, a convention or association of churches, or an elementary or secondary school which is controlled, operated, or principally supported by a church or by a convention or association of churches.
(B)For"&amp;" purposes of this subsection, the term “qualified church-controlled organization” means any church-controlled tax-exempt organization described in section 501(c)(3), other than an organization which—
(i)offers goods, services, or facilities for sale, othe"&amp;"r than on an incidental basis, to the general public, other than goods, services, or facilities which are sold at a nominal charge which is substantially less than the cost of providing such goods, services, or facilities; and
(ii)normally receives more t"&amp;"han 25 percent of its support from either (I) governmental sources, or (II) receipts from admissions, sales of merchandise, performance of services, or furnishing of facilities, in activities which are not unrelated trades or businesses, or both.
(x)Appli"&amp;"cable dollar threshold
For purposes of subsection (a)(7)(B), the term “applicable dollar threshold” means $1,000. In the case of calendar years after 1995, the Commissioner of Social Security shall adjust such $1,000 amount at the same time and in the sam"&amp;"e manner as under section 215(a)(1)(B)(ii) of the Social Security Act with respect to the amounts referred to in section 215(a)(1)(B)(i) of such Act, except that, for purposes of this paragraph, 1993 shall be substituted for the calendar year referred to "&amp;"in section 215(a)(1)(B)(ii)(II) of such Act. If any amount as adjusted under the preceding sentence is not a multiple of $100, such amount shall be rounded to the next lowest multiple of $100.
(y)Service in the employ of international organizations by ce"&amp;"rtain transferred Federal employees
(1)In general
For purposes of this chapter, service performed in the employ of an international organization by an individual pursuant to a transfer of such individual to such international organization pursuant to sect"&amp;"ion 3582 of title 5, United States Code, shall constitute “employment” if—
(A)immediately before such transfer, such individual performed service with a Federal agency which constituted “employment” under subsection (b) for purposes of the taxes imposed b"&amp;"y sections 3101(a) and 3111(a), and
(B)such individual would be entitled, upon separation from such international organization and proper application, to reemployment with such Federal agency under such section 3582.
(2)Definitions
For purposes of this su"&amp;"bsection—
(A)Federal agency
The term “Federal agency” means an agency, as defined in section 3581(1) of title 5, United States Code.
(B)International organization
The term “international organization” has the meaning provided such term by section 3581(3)"&amp;" of title 5, United States Code.
(z)Treatment of certain foreign persons as American employers
(1)In general
If any employee of a foreign person is performing services in connection with a contract between the United States Government (or any instrumenta"&amp;"lity thereof) and any member of any domestically controlled group of entities which includes such foreign person, such foreign person shall be treated for purposes of this chapter as an American employer with respect to such services performed by such emp"&amp;"loyee.
(2)Domestically controlled group of entities
For purposes of this subsection—
(A)In general
The term “domestically controlled group of entities” means a controlled group of entities the common parent of which is a domestic corporation.
(B)Control"&amp;"led group of entities
The term “controlled group of entities” means a controlled group of corporations as defined in section 1563(a)(1), except that—
(i)“more than 50 percent” shall be substituted for “at least 80 percent” each place it appears therein, a"&amp;"nd
(ii)the determination shall be made without regard to subsections (a)(4) and (b)(2) of section 1563.
A partnership or any other entity (other than a corporation) shall be treated as a member of a controlled group of entities if such entity is controlle"&amp;"d (within the meaning of section 954(d)(3)) by members of such group (including any entity treated as a member of such group by reason of this sentence).
(3)Liability of common parent
In the case of a foreign person who is a member of any domestically con"&amp;"trolled group of entities, the common parent of such group shall be jointly and severally liable for any tax under this chapter for which such foreign person is liable by reason of this subsection, and for any penalty imposed on such person by this title "&amp;"with respect to any failure to pay such tax or to file any return or statement with respect to such tax or wages subject to such tax. No deduction shall be allowed under this title for any liability imposed by the preceding sentence.
(4)Provisions preven"&amp;"ting double taxation
(A)Agreements
Paragraph (1) shall not apply to any services which are covered by an agreement under subsection (l).
(B)Equivalent foreign taxation
Paragraph (1) shall not apply to any services if the employer establishes to the satis"&amp;"faction of the Secretary that the remuneration paid by such employer for such services is subject to a tax imposed by a foreign country which is substantially equivalent to the taxes imposed by this chapter.
(5)Cross reference
For relief from taxes in ca"&amp;"ses covered by certain international agreements, see sections 3101(c) and 3111(c).
(Aug. 16, 1954, ch. 736, 68A Stat. 417; Sept. 1, 1954, ch. 1206, title II, §§ 204(a), (b), 205(a)–(e), 206(a), 207, 209, 68 Stat. 1091–1094; Aug. 1, 1956, ch. 836, title I"&amp;", §§ 103(j), 121(d), title II, §§ 201(b)–(d), (e)(1), (h)(1), (2), (j)–(l), 70 Stat. 824, 839–841, 843; Aug. 1, 1956, ch. 837, title IV, §§ 410, 411(a), 70 Stat. 878; Pub. L. 85–840, title IV, §§ 402(b), 404(a), 405(a), (b), Aug. 28, 1958, 72 Stat. 1042, "&amp;"1044–1046; Pub. L. 85–866, title I, § 69, Sept. 2, 1958, 72 Stat. 1659; Pub. L. 86–70, § 22(a), June 25, 1959, 73 Stat. 146; Pub. L. 86–168, title I, § 104(h), title II, § 202(a), Aug. 18, 1959, 73 Stat. 387, 389; Pub. L. 86–624, § 18(c), July 12, 1960, 7"&amp;"4 Stat. 416; Pub. L. 86–778, title I, §§ 103(n)–(p), 104(b), 105(a), Sept. 13, 1960, 74 Stat. 938, 939, 942; Pub. L. 87–256, § 110(e)(1), Sept. 21, 1961, 75 Stat. 536; Pub. L. 87–293, title II, § 202(a)(1), (2), Sept. 22, 1961, 75 Stat. 626; Pub. L. 88–27"&amp;"2, title II, § 220(c)(2), Feb. 26, 1964, 78 Stat. 62; Pub. L. 88–650, § 4(b), Oct. 13, 1964, 78 Stat. 1077; Pub. L. 89–97, title III, §§ 311(b)(4), (5), 313(c)(3), (4), 316(a)(1), (b), 317(b), 320(b)(2), July 30, 1965, 79 Stat. 381, 383, 386, 388, 393; Pu"&amp;"b. L. 90–248, title I, §§ 108(b)(2), 123(b), title IV, § 403(i), title V, § 504(a), Jan. 2, 1968, 81 Stat. 835, 845, 932, 934; Pub. L. 91–172, title IX, § 943(c)(1)–(3), Dec. 30, 1969, 83 Stat. 728; Pub. L. 92–5, title II, § 203(b)(2), Mar. 17, 1971, 85 S"&amp;"tat. 11; Pub. L. 92–336, title II, § 203(b)(2), July 1, 1972, 86 Stat. 419; Pub. L. 92–603, title I, §§ 104(i), 122(b), 123(a)(2), (b), (c)(2), 128(b), 129(a)(2), 138(b), Oct. 30, 1972, 86 Stat. 1341, 1354, 1356, 1358, 1359, 1365; Pub. L. 93–66, title II,"&amp;" § 203(b)(2), (d), July 9, 1973, 87 Stat. 153; Pub. L. 93–233, § 5(b)(2), (d), Dec. 31, 1973, 87 Stat. 954; Pub. L. 94–455, title XII, § 1207(e)(1)(A), title XIX, §§ 1903(a)(3), 1906(b)(13)(A), (C), Oct. 4, 1976, 90 Stat. 1706, 1807, 1834; Pub. L. 94–563,"&amp;" § 1(b), (c), Oct. 19, 1976, 90 Stat. 2655; Pub. L. 95–216, title III, §§ 312(a), (b), (d), (f), (g), 314(a), 315(a), 356(a)–(d), Dec. 20, 1977, 91 Stat. 1532–1536, 1555; Pub. L. 95–472, § 3(b), Oct. 17, 1978, 92 Stat. 1333; Pub. L. 95–600, title I, § 164"&amp;"(b)(3), Nov. 6, 1978, 92 Stat. 2814; Pub. L. 96–222, title I, § 101(a)(10)(B)(i), Apr. 1, 1980, 94 Stat. 201; Pub. L. 96–499, title XI, § 1141(a)(1), Dec. 5, 1980, 94 Stat. 2693; Pub. L. 97–34, title I, § 124(e)(2)(A), Aug. 13, 1981, 95 Stat. 200; Pub. L."&amp;" 97–123, § 3(b), Dec. 29, 1981, 95 Stat. 1662; Pub. L. 97–248, title II, § 278(a)(1), Sept. 3, 1982, 96 Stat. 559; Pub. L. 98–21, title I, §§ 101(b), (c)(2), 102(b), title III, §§ 321(a), (e)(1), 322(a)(2), 323(a)(1), 324(a), 327(a)(1), (b)(1), 328(a), Ap"&amp;"r. 20, 1983, 97 Stat. 69, 70, 118, 119, 121, 122, 126–128; Pub. L. 98–369, div. A, title I, § 67(c), title IV, § 491(d)(36), title V, § 531(d)(1)(A), div. B, title VI, §§ 2601(b), 2603(a)(2), (b), 2661(o)(3), 2663(i), (j)(5)(C), July 18, 1984, 98 Stat. 58"&amp;"7, 851, 884, 1124, 1128, 1159, 1169, 1171; Pub. L. 99–221, § 3(b), Dec. 26, 1985, 99 Stat. 1735; Pub. L. 99–272, title XII, § 12112(b), title XIII, §§ 13205(a)(1), 13303(c)(2), Apr. 7, 1986, 100 Stat. 288, 313, 327; Pub. L. 99–335, title III, § 304(b), Ju"&amp;"ne 6, 1986, 100 Stat. 606; Pub. L. 99–509, title IX, § 9002(b)(1)(A), (2)(A), Oct. 21, 1986, 100 Stat. 1971; Pub. L. 99–514, title I, § 122(e)(1), title XI, §§ 1108(g)(7), 1147(b), 1151(d)(2)(A), title XVIII, §§ 1882(c), 1883(a)(11)(B), 1895(b)(18)(A), 18"&amp;"99A(38)–(40), Oct. 22, 1986, 100 Stat. 2112, 2435, 2494, 2505, 2915, 2916, 2935, 2960; Pub. L. 100–203, title IX, §§ 9001(b), 9002(b), 9003(a)(2), 9004(b), 9005(b), 9006(a), (b)(2), 9023(d), Dec. 22, 1987, 101 Stat. 1330–286 to 1330–289, 1330–296; Pub. L."&amp;" 100–647, title I, §§ 1001(d)(2)(C)(i), (g)(4)(B)(i), 1011(e)(8), 1011B(a)(22)(A), (23)(A), 1018(r)(2)(A), (u)(35), title III, § 3043(c)(2), title VIII, §§ 8015(b)(2), (c)(2), 8016(a)(3)(A), (4)(A), (C), 8017(b), Nov. 10, 1988, 102 Stat. 3351, 3352, 3461,"&amp;" 3485, 3486, 3586, 3592, 3642, 3791–3793; Pub. L. 101–140, title II, § 203(a)(2), Nov. 8, 1989, 103 Stat. 830; Pub. L. 101–239, title X, § 10201(a), (b)(3), Dec. 19, 1989, 103 Stat. 2472; Pub. L. 101–508, title XI, §§ 11331(a), 11332(b), Nov. 5, 1990, 104"&amp;" Stat. 1388–467, 1388–469; Pub. L. 101–650, title III, § 321, Dec. 1, 1990, 104 Stat. 5117; Pub. L. 102–318, title V, § 521(b)(34), July 3, 1992, 106 Stat. 312; Pub. L. 103–66, title XIII, § 13207(a), Aug. 10, 1993, 107 Stat. 467; Pub. L. 103–178, title I"&amp;"I, § 204(c), Dec. 3, 1993, 107 Stat. 2033; Pub. L. 103–296, title I, § 108(h)(2), title III, §§ 303(a)(2), (b)(2), 319(a)(1), (5), 320(a)(1)(C), Aug. 15, 1994, 108 Stat. 1487, 1519, 1533–1535; Pub. L. 103–387, § 2(a)(1)(A)–(C), Oct. 22, 1994, 108 Stat. 40"&amp;"71; Pub. L. 104–188, title I, §§ 1116(a)(1)(A), (B), 1421(b)(8)(A), 1458(b)(1), Aug. 20, 1996, 110 Stat. 1762, 1798, 1819; Pub. L. 105–33, title XI, § 11246(b)(2)(A), as added Pub. L. 105–277, div. A, § 101(h) [title VIII, § 802(a)(2)], Oct. 21, 1998, 112"&amp;" Stat. 2681–480, 2681–532; Pub. L. 105–61, title VI, § 642(d)(2), Oct. 10, 1997, 111 Stat. 1319; Pub. L. 105–206, title VI, § 6023(13), July 22, 1998, 112 Stat. 825; Pub. L. 106–554, § 1(a)(7) [title III, § 319(15)], Dec. 21, 2000, 114 Stat. 2763, 2763A–6"&amp;"47; Pub. L. 108–121, title I, § 106(b)(2), Nov. 11, 2003, 117 Stat. 1339; Pub. L. 108–203, title IV, § 423(a), (c), Mar. 2, 2004, 118 Stat. 536; Pub. L. 108–357, title II, § 251(a)(1)(A), title III, § 320(b)(1), title VIII, § 802(c)(1), Oct. 22, 2004, 118"&amp;" Stat. 1458, 1473, 1568; Pub. L. 108–375, div. A, title V, § 585(b)(2)(B), Oct. 28, 2004, 118 Stat. 1932; Pub. L. 109–280, title VIII, § 854(c)(8), Aug. 17, 2006, 120 Stat. 1018; Pub. L. 110–172, § 8(a)(2), Dec. 29, 2007, 121 Stat. 2483; Pub. L. 110–245, "&amp;"title I, § 115(a)(1), title III, § 302(a), June 17, 2008, 122 Stat. 1636, 1647; Pub. L. 110–458, title I, § 108(k)(1), Dec. 23, 2008, 122 Stat. 5110; Pub. L. 113–295, div. A, title II, § 221(a)(19)(B)(iv), (99)(C)(i), Dec. 19, 2014, 128 Stat. 4040, 4052; "&amp;"Pub. L. 115–141, div. U, title IV, § 401(a)(209), (210), (325)(A), Mar. 23, 2018, 132 Stat. 1194, 1199; Pub. L. 115–243, § 2(b)(2), Sept. 20, 2018, 132 Stat. 2895; Pub. L. 116–94, div. O, title III, § 301(c), Dec. 20, 2019, 133 Stat. 3175; Pub. L. 117–328"&amp;", div. T, title VII, § 702(b)(1), Dec. 29, 2022, 136 Stat. 5404.)
")</f>
        <v>(g)Agricultural labor
For purposes of this chapter, the term “agricultural labor” includes all service performed—
(1)on a farm, in the employ of any person, in connection with cultivating the soil, or in connection with raising or harvesting any agricultural or horticultural commodity, including the raising, shearing, feeding, caring for, training, and management of livestock, bees, poultry, and fur-bearing animals and wildlife;
(2)in the employ of the owner or tenant or other operator of a farm, in connection with the operation, management, conservation, improvement, or maintenance of such farm and its tools and equipment, or in salvaging timber or clearing land of brush and other debris left by a hurricane, if the major part of such service is performed on a farm;
(3)in connection with the production or harvesting of any commodity defined as an agricultural commodity in section 15(g) of the Agricultural Marketing Act, as amended (12 U.S.C. 1141j), or in connection with the ginning of cotton, or in connection with the operation or maintenance of ditches, canals, reservoirs, or waterways, not owned or operated for profit, used exclusively for supplying and storing water for farming purposes;
(4)
(A)in the employ of the operator of a farm in handling, planting, drying, packing, packaging, processing, freezing, grading, storing, or delivering to storage or to market or to a carrier for transportation to market, in its unmanufactured state, any agricultural or horticultural commodity; but only if such operator produced more than one-half of the commodity with respect to which such service is performed;
(B)in the employ of a group of operators of farms (other than a cooperative organization) in the performance of service described in subparagraph (A), but only if such operators produced all of the commodity with respect to which such service is performed. For purposes of this subparagraph, any unincorporated group of operators shall be deemed a cooperative organization if the number of operators comprising such group is more than 20 at any time during the calendar year in which such service is performed;
(C)the provisions of subparagraphs (A) and (B) shall not be deemed to be applicable with respect to service performed in connection with commercial canning or commercial freezing or in connection with any agricultural or horticultural commodity after its delivery to a terminal market for distribution for consumption; or
(5)on a farm operated for profit if such service is not in the course of the employer’s trade or business.
As used in this subsection, the term “farm” includes stock, dairy, poultry, fruit, fur-bearing animal, and truck farms, plantations, ranches, nurseries, ranges, greenhouses or other similar structures used primarily for the raising of agricultural or horticultural commodities, and orchards.
(h)American employer
For purposes of this chapter, the term “American employer” means an employer which is—
(1)the United States or any instrumentality thereof,
(2)an individual who is a resident of the United States,
(3)a partnership, if two-thirds or more of the partners are residents of the United States,
(4)a trust, if all of the trustees are residents of the United States, or
(5)a corporation organized under the laws of the United States or of any State.
(i)Computation of wages in certain cases
(1)Domestic service
For purposes of this chapter, in the case of domestic service described in subsection (a)(7)(B), any payment of cash remuneration for such service which is more or less than a whole-dollar amount shall, under such conditions and to such extent as may be prescribed by regulations made under this chapter, be computed to the nearest dollar. For the purpose of the computation to the nearest dollar, the payment of a fractional part of a dollar shall be disregarded unless it amounts to one-half dollar or more, in which case it shall be increased to $1. The amount of any payment of cash remuneration so computed to the nearest dollar shall, in lieu of the amount actually paid, be deemed to constitute the amount of cash remuneration for purposes of subsection (a)(7)(B).
(2)Service in the uniformed services
For purposes of this chapter, in the case of an individual performing service, as a member of a uniformed service, to which the provisions of subsection (m)(1) are applicable, the term “wages” shall, subject to the provisions of subsection (a)(1) of this section, include as such individual’s remuneration for such service only (A) his basic pay as described in chapter 3 and section 1009 of title 37, United States Code, in the case of an individual performing service to which subparagraph (A) of such subsection (m)(1) applies, or (B) his compensation for such service as determined under section 206(a) of title 37, United States Code, in the case of an individual performing service to which subparagraph (B) of such subsection (m)(1) applies.
(3)Peace Corps volunteer service
For purposes of this chapter, in the case of an individual performing service, as a volunteer or volunteer leader within the meaning of the Peace Corps Act, to which the provisions of section 3121(p) are applicable, the term “wages” shall, subject to the provisions of subsection (a)(1) of this section, include as such individual’s remuneration for such service only amounts paid pursuant to section 5(c) or 6(1) of the Peace Corps Act.
(4)Service performed by certain members of religious orders
For purposes of this chapter, in any case where an individual is a member of a religious order (as defined in subsection (r)(2)) performing service in the exercise of duties required by such order, and an election of coverage under subsection (r) is in effect with respect to such order or with respect to the autonomous subdivision thereof to which such member belongs, the term “wages” shall, subject to the provisions of subsection (a)(1), include as such individual’s remuneration for such service the fair market value of any board, lodging, clothing, and other perquisites furnished to such member by such order or subdivision thereof or by any other person or organization pursuant to an agreement with such order or subdivision, except that the amount included as such individual’s remuneration under this paragraph shall not be less than $100 a month.
(5)Service performed by certain retired justices and judges
For purposes of this chapter, in the case of an individual performing service under the provisions of section 294 of title 28, United States Code (relating to assignment of retired justices and judges to active duty), the term “wages” shall not include any payment under section 371(b) of such title 28 which is received during the period of such service.
(j)Covered transportation service
For purposes of this chapter—
(1)Existing transportation systems—General rule
Except as provided in paragraph (2), all service performed in the employ of a State or political subdivision in connection with its operation of a public transportation system shall constitute covered transportation service if any part of the transportation system was acquired from private ownership after 1936 and prior to 1951.
(2)Existing transportation systems—Cases in which no transportation employees, or only certain employees, are covered
Service performed in the employ of a State or political subdivision in connection with the operation of its public transportation system shall not constitute covered transportation service if—
(A)any part of the transportation system was acquired from private ownership after 1936 and prior to 1951, and substantially all service in connection with the operation of the transportation system was, on December 31, 1950, covered under a general retirement system providing benefits which, by reason of a provision of the State constitution dealing specifically with retirement systems of the State or political subdivisions thereof, cannot be diminished or impaired; or
(B)no part of the transportation system operated by the State or political subdivision on December 31, 1950, was acquired from private ownership after 1936 and prior to 1951;
except that if such State or political subdivision makes an acquisition after 1950 from private ownership of any part of its transportation system, then, in the case of any employee who—
(C)became an employee of such State or political subdivision in connection with and at the time of its acquisition after 1950 of such part, and
(D)prior to such acquisition rendered service in employment (including as employment service covered by an agreement under section 218 of the Social Security Act) in connection with the operation of such part of the transportation system acquired by the State or political subdivision,
the service of such employee in connection with the operation of the transportation system shall constitute covered transportation service, commencing with the first day of the third calendar quarter following the calendar quarter in which the acquisition of such part took place, unless on such first day such service of such employee is covered by a general retirement system which does not, with respect to such employee, contain special provisions applicable only to employees described in subparagraph (C).
(3)Transportation systems acquired after 1950
All service performed in the employ of a State or political subdivision thereof in connection with its operation of a public transportation system shall constitute covered transportation service if the transportation system was not operated by the State or political subdivision prior to 1951 and, at the time of its first acquisition (after 1950) from private ownership of any part of its transportation system, the State or political subdivision did not have a general retirement system covering substantially all service performed in connection with the operation of the transportation system.
(4)Definitions
For purposes of this subsection—
(A)The term “general retirement system” means any pension, annuity, retirement, or similar fund or system established by a State or by a political subdivision thereof for employees of the State, political subdivision, or both; but such term shall not include such a fund or system which covers only service performed in positions connected with the operation of its public transportation system.
(B)A transportation system or a part thereof shall be considered to have been acquired by a State or political subdivision from private ownership if prior to the acquisition service performed by employees in connection with the operation of the system or part thereof acquired constituted employment under this chapter or subchapter A of chapter 9 of the Internal Revenue Code of 1939 or was covered by an agreement made pursuant to section 218 of the Social Security Act and some of such employees became employees of the State or political subdivision in connection with and at the time of such acquisition.
(C)The term “political subdivision” includes an instrumentality of—
(i)a State,
(ii)one or more political subdivisions of a State, or
(iii)a State and one or more of its political subdivisions.
[(k)Repealed. Pub. L. 98–21, title I, § 102(b)(2), Apr. 20, 1983, 97 Stat. 71]
(l)Agreements entered into by American employers with respect to foreign affiliates
(1)Agreement with respect to certain employees of foreign affiliate
The Secretary shall, at the American employer’s request, enter into an agreement (in such manner and form as may be prescribed by the Secretary) with any American employer (as defined in subsection (h)) who desires to have the insurance system established by title II of the Social Security Act extended to service performed outside the United States in the employ of any 1 or more of such employer’s foreign affiliates (as defined in paragraph (6)) by all employees who are citizens or residents of the United States, except that the agreement shall not apply to any service performed by, or remuneration paid to, an employee if such service or remuneration would be excluded from the term “employment” or “wages”, as defined in this section, had the service been performed in the United States. Such agreement may be amended at any time so as to be made applicable, in the same manner and under the same conditions, with respect to any other foreign affiliate of such American employer. Such agreement shall be applicable with respect to citizens or residents of the United States who, on or after the effective date of the agreement, are employees of and perform services outside the United States for any foreign affiliate specified in the agreement. Such agreement shall provide—
(A)that the American employer shall pay to the Secretary, at such time or times as the Secretary may by regulations prescribe, amounts equivalent to the sum of the taxes which would be imposed by sections 3101 and 3111 (including amounts equivalent to the interest, additions to the taxes, additional amounts, and penalties which would be applicable) with respect to the remuneration which would be wages if the services covered by the agreement constituted employment as defined in this section; and
(B)that the American employer will comply with such regulations relating to payments and reports as the Secretary may prescribe to carry out the purposes of this subsection.
(2)Effective period of agreement
An agreement entered into pursuant to paragraph (1) shall be in effect for the period beginning with the first day of the calendar quarter in which such agreement is entered into or the first day of the succeeding calendar quarter, as may be specified in the agreement; except that in case such agreement is amended to include the services performed for any other affiliate and such amendment is executed after the first month following the first calendar quarter for which the agreement is in effect, the agreement shall be in effect with respect to service performed for such other affiliate only after the calendar quarter in which such amendment is executed. Notwithstanding any other provision of this subsection, the period for which any such agreement is effective with respect to any foreign entity shall terminate at the end of any calendar quarter in which the foreign entity, at any time in such quarter, ceases to be a foreign affiliate as defined in paragraph (6).
(3)No termination of agreement
No agreement under this subsection may be terminated, either in its entirety or with respect to any foreign affiliate, on or after June 15, 1989.
(4)Deposits in trust funds
For purposes of section 201 of the Social Security Act, relating to appropriations to the Federal Old-Age and Survivors Insurance Trust Fund and the Federal Disability Insurance Trust Fund, such remuneration—
(A)paid for services covered by an agreement entered into pursuant to paragraph (1) as would be wages if the services constituted employment, and
(B)as is reported to the Secretary pursuant to the provisions of such agreement or of the regulations issued under this subsection,
shall be considered wages subject to the taxes imposed by this chapter.
(5)Overpayments and underpayments
(A)If more or less than the correct amount due under an agreement entered into pursuant to this subsection is paid with respect to any payment of remuneration, proper adjustments with respect to the amounts due under such agreement shall be made, without interest, in such manner and at such times as may be required by regulations prescribed by the Secretary.
(B)If an overpayment cannot be adjusted under subparagraph (A), the amount thereof shall be paid by the Secretary, through the Fiscal Service of the Treasury Department, but only if a claim for such overpayment is filed with the Secretary within two years from the time such overpayment was made.
(6)Foreign affiliate defined
For purposes of this subsection and section 210(a) of the Social Security Act—
(A)In general
A foreign affiliate of an American employer is any foreign entity in which such American employer has not less than a 10-percent interest.
(B)Determination of 10-percent interest
For purposes of subparagraph (A), an American employer has a 10-percent interest in any entity if such employer has such an interest directly (or through one or more entities)—
(i)in the case of a corporation, in the voting stock thereof, and
(ii)in the case of any other entity, in the profits thereof.
(7)American employer as separate entity
Each American employer which enters into an agreement pursuant to paragraph (1) of this subsection shall, for purposes of this subsection and section 6413(c)(2)(C), relating to special refunds in the case of employees of certain foreign entities, be considered an employer in its capacity as a party to such agreement separate and distinct from its identity as a person employing individuals on its own account.
(8)Regulations
Regulations of the Secretary to carry out the purposes of this subsection shall be designed to make the requirements imposed on American employers with respect to services covered by an agreement entered into pursuant to this subsection the same, so far as practicable, as those imposed upon employers pursuant to this title with respect to the taxes imposed by this chapter.
(m)Service in the uniformed services
For purposes of this chapter—
(1)Inclusion of service
The term “employment” shall, notwithstanding the provisions of subsection (b) of this section, include—
(A)service performed by an individual as a member of a uniformed service on active duty, but such term shall not include any such service which is performed while on leave without pay, and
(B)service performed by an individual as a member of a uniformed service on inactive duty training.
(2)Active duty
The term “active duty” means “active duty” as described in paragraph (21) of section 101 of title 38, United States Code, except that it shall also include “active duty for training” as described in paragraph (22) of such section.
(3)Inactive duty training
The term “inactive duty training” means “inactive duty training” as described in paragraph (23) of such section 101.
(n)Member of a uniformed service
For purposes of this chapter, the term “member of a uniformed service” means any person appointed, enlisted, or inducted in a component of the Army, Navy, Air Force, Marine Corps, or Coast Guard (including a reserve component as defined in section 101(27) of title 38, United States Code), or in one of those services without specification of component, or as a commissioned officer of the Coast and Geodetic Survey, the National Oceanic and Atmospheric Administration Corps, or the Regular or Reserve Corps [2] of the Public Health Service, and any person serving in the Army or Air Force under call or conscription. The term includes—
(1)a retired member of any of those services;
(2)a member of the Fleet Reserve or Fleet Marine Corps Reserve;
(3)a cadet at the United States Military Academy, a midshipman at the United States Naval Academy, and a cadet at the United States Coast Guard Academy or United States Air Force Academy;
(4)a member of the Reserve Officers’ Training Corps, the Naval Reserve Officers’ Training Corps, or the Air Force Reserve Officers’ Training Corps, when ordered to annual training duty for fourteen days or more, and while performing authorized travel to and from that duty; and
(5)any person while en route to or from, or at, a place for final acceptance or for entry upon active duty in the military, naval, or air service—
(A)who has been provisionally accepted for such duty; or
(B)who, under the Military Selective Service Act, has been selected for active military, naval, or air service;
and has been ordered or directed to proceed to such place.
The term does not include a temporary member of the Coast Guard Reserve.
(o)Crew leader
For purposes of this chapter, the term “crew leader” means an individual who furnishes individuals to perform agricultural labor for another person, if such individual pays (either on his own behalf or on behalf of such person) the individuals so furnished by him for the agricultural labor performed by them and if such individual has not entered into a written agreement with such person whereby such individual has been designated as an employee of such person; and such individuals furnished by the crew leader to perform agricultural labor for another person shall be deemed to be the employees of such crew leader. For purposes of this chapter and chapter 2, a crew leader shall, with respect to service performed in furnishing individuals to perform agricultural labor for another person and service performed as a member of the crew, be deemed not to be an employee of such other person.
(p)Peace Corps volunteer service
For purposes of this chapter, the term “employment” shall, notwithstanding the provisions of subsection (b) of this section, include service performed by an individual as a volunteer or volunteer leader within the meaning of the Peace Corps Act.
(q)Tips included for both employee and employer taxes
For purposes of this chapter, tips received by an employee in the course of his employment shall be considered remuneration for such employment (and deemed to have been paid by the employer for purposes of subsections (a) and (b) of section 3111). Such remuneration shall be deemed to be paid at the time a written statement including such tips is furnished to the employer pursuant to section 6053(a) or (if no statement including such tips is so furnished) at the time received; except that, in determining the employer’s liability in connection with the taxes imposed by section 3111 with respect to such tips in any case where no statement including such tips was so furnished (or to the extent that the statement so furnished was inaccurate or incomplete), such remuneration shall be deemed for purposes of subtitle F to be paid on the date on which notice and demand for such taxes is made to the employer by the Secretary.
(r)Election of coverage by religious orders
(1)Certificate of election by order
A religious order whose members are required to take a vow of poverty, or any autonomous subdivision of such order, may file a certificate (in such form and manner, and with such official, as may be prescribed by regulations under this chapter) electing to have the insurance system established by title II of the Social Security Act extended to services performed by its members in the exercise of duties required by such order or such subdivision thereof. Such certificate of election shall provide that—
(A)such election of coverage by such order or subdivision shall be irrevocable;
(B)such election shall apply to all current and future members of such order, or in the case of a subdivision thereof to all current and future members of such order who belong to such subdivision;
(C)all services performed by a member of such an order or subdivision in the exercise of duties required by such order or subdivision shall be deemed to have been performed by such member as an employee of such order or subdivision; and
(D)the wages of each member, upon which such order or subdivision shall pay the taxes imposed by sections 3101 and 3111, will be determined as provided in subsection (i)(4).
(2)Definition of member
For purposes of this subsection, a member of a religious order means any individual who is subject to a vow of poverty as a member of such order and who performs tasks usually required (and to the extent usually required) of an active member of such order and who is not considered retired because of old age or total disability.
(3)Effective date for election
(A)A certificate of election of coverage shall be in effect, for purposes of subsection (b)(8) and for purposes of section 210(a)(8) of the Social Security Act, for the period beginning with whichever of the following may be designated by the order or subdivision thereof:
(i)the first day of the calendar quarter in which the certificate is filed,
(ii)the first day of the calendar quarter succeeding such quarter, or
(iii)the first day of any calendar quarter preceding the calendar quarter in which the certificate is filed, except that such date may not be earlier than the first day of the twentieth calendar quarter preceding the quarter in which such certificate is filed.
Whenever a date is designated under clause (iii), the election shall apply to services performed before the quarter in which the certificate is filed only if the member performing such services was a member at the time such services were performed and is living on the first day of the quarter in which such certificate is filed.
(B)If a certificate of election filed pursuant to this subsection is effective for one or more calendar quarters prior to the quarter in which such certificate is filed, then—
(i)for purposes of computing interest and for purposes of section 6651 (relating to addition to tax for failure to file tax return), the due date for the return and payment of the tax for such prior calendar quarters resulting from the filing of such certificate shall be the last day of the calendar month following the calendar quarter in which the certificate is filed; and
(ii)the statutory period for the assessment of such tax shall not expire before the expiration of 3 years from such due date.
[(4)Repealed. Pub. L. 98–21, title I, § 102(b)(3)(B), Apr. 20, 1983, 97 Stat. 71]
(s)Concurrent employment by two or more employers
For purposes of sections 3102, 3111, and 3121(a)(1), if two or more related corporations concurrently employ the same individual and compensate such individual through a common paymaster which is one of such corporations, each such corporation shall be considered to have paid as remuneration to such individual only the amounts actually disbursed by it to such individual and shall not be considered to have paid as remuneration to such individual amounts actually disbursed to such individual by another of such corporations.
[(t)Repealed. Pub. L. 100–203, title IX, § 9006(b)(2), Dec. 22, 1987, 101 Stat. 1330–289]
(u)Application of hospital insurance tax to Federal, State, and local employment
(1)Federal employment
For purposes of the taxes imposed by sections 3101(b) and 3111(b), subsection (b) shall be applied without regard to paragraph (5) thereof.
(2)State and local employment
For purposes of the taxes imposed by sections 3101(b) and 3111(b)—
(A)In general
Except as provided in subparagraphs (B) and (C), subsection (b) shall be applied without regard to paragraph (7) thereof.
(B)Exception for certain services
Service shall not be treated as employment by reason of subparagraph (A) if—
(i)the service is included under an agreement under section 218 of the Social Security Act, or
(ii)the service is performed—
(I)by an individual who is employed by a State or political subdivision thereof to relieve him from unemployment,
(II)in a hospital, home, or other institution by a patient or inmate thereof as an employee of a State or political subdivision thereof or of the District of Columbia,
(III)by an individual, as an employee of a State or political subdivision thereof or of the District of Columbia, serving on a temporary basis in case of fire, storm, snow, earthquake, flood or other similar emergency,
(IV)by any individual as an employee included under section 5351(2) of title 5, United States Code (relating to certain interns, student nurses, and other student employees of hospitals of the District of Columbia Government), other than as a medical or dental intern or a medical or dental resident in training,
(V)by an election official or election worker if the remuneration paid in a calendar year for such service is less than $1,000 with respect to service performed during any calendar year commencing on or after January 1, 1995, ending on or before December 31, 1999, and the adjusted amount determined under section 218(c)(8)(B) of the Social Security Act for any calendar year commencing on or after January 1, 2000, with respect to service performed during such calendar year, or
(VI)by an individual in a position described in section 1402(c)(2)(E).
As used in this subparagraph, the terms “State” and “political subdivision” have the meanings given those terms in section 218(b) of the Social Security Act.
(C)Exception for current employment which continues
Service performed for an employer shall not be treated as employment by reason of subparagraph (A) if—
(i)such service would be excluded from the term “employment” for purposes of this chapter if subparagraph (A) did not apply;
(ii)such service is performed by an individual—
(I)who was performing substantial and regular service for remuneration for that employer before April 1, 1986,
(II)who is a bona fide employee of that employer on March 31, 1986, and
(III)whose employment relationship with that employer was not entered into for purposes of meeting the requirements of this subparagraph; and
(iii)the employment relationship with that employer has not been terminated after March 31, 1986.
(D)Treatment of agencies and instrumentalities
For purposes of subparagraph (C), under regulations—
(i)All agencies and instrumentalities of a State (as defined in section 218(b) of the Social Security Act) or of the District of Columbia shall be treated as a single employer.
(ii)All agencies and instrumentalities of a political subdivision of a State (as so defined) shall be treated as a single employer and shall not be treated as described in clause (i).
(3)Medicare qualified government employment
For purposes of this chapter, the term “medicare qualified government employment” means service which—
(A)is employment (as defined in subsection (b)) with the application of paragraphs (1) and (2), but
(B)would not be employment (as so defined) without the application of such paragraphs.
(v)Treatment of certain deferred compensation and salary reduction arrangements
(1)Certain employer contributions treated as wages
Nothing in any paragraph of subsection (a) (other than paragraph (1)) shall exclude from the term “wages”—
(A)any employer contribution under a qualified cash or deferred arrangement (as defined in section 401(k)) to the extent not included in gross income by reason of section 402(e)(3) or consisting of designated Roth contributions (as defined in section 402A(c)), or
(B)any amount treated as an employer contribution under section 414(h)(2) where the pickup referred to in such section is pursuant to a salary reduction agreement (whether evidenced by a written instrument or otherwise).
(2)Treatment of certain nonqualified deferred compensation plans
(A)In general
Any amount deferred under a nonqualified deferred compensation plan shall be taken into account for purposes of this chapter as of the later of—
(i)when the services are performed, or
(ii)when there is no substantial risk of forfeiture of the rights to such amount.
The preceding sentence shall not apply to any excess parachute payment (as defined in section 280G(b)) or to any specified stock compensation (as defined in section 4985) on which tax is imposed by section 4985.
(B)Taxed only once
Any amount taken into account as wages by reason of subparagraph (A) (and the income attributable thereto) shall not thereafter be treated as wages for purposes of this chapter.
(C)Nonqualified deferred compensation plan
For purposes of this paragraph, the term “nonqualified deferred compensation plan” means any plan or other arrangement for deferral of compensation other than a plan described in subsection (a)(5).
(3)Exempt governmental deferred compensation plan
For purposes of subsection (a)(5), the term “exempt governmental deferred compensation plan” means any plan providing for deferral of compensation established and maintained for its employees by the United States, by a State or political subdivision thereof, or by an agency or instrumentality of any of the foregoing. Such term shall not include—
(A)any plan to which section 83, 402(b), 403(c), 457(a), or 457(f)(1) applies,
(B)any annuity contract described in section 403(b), and
(C)the Thrift Savings Fund (within the meaning of subchapter III of chapter 84 of title 5, United States Code).
(w)Exemption of churches and qualified church-controlled organizations
(1)General rule
Any church or qualified church-controlled organization (as defined in paragraph (3)) may make an election within the time period described in paragraph (2), in accordance with such procedures as the Secretary determines to be appropriate, that services performed in the employ of such church or organization shall be excluded from employment for purposes of title II of the Social Security Act and this chapter. An election may be made under this subsection only if the church or qualified church-controlled organization states that such church or organization is opposed for religious reasons to the payment of the tax imposed under section 3111.
(2)Timing and duration of election
An election under this subsection must be made prior to the first date, more than 90 days after July 18, 1984, on which a quarterly employment tax return for the tax imposed under section 3111 is due, or would be due but for the election, from such church or organization. An election under this subsection shall apply to current and future employees, and shall apply to service performed after December 31, 1983. The election may be revoked by the church or organization under regulations prescribed by the Secretary. The election shall be revoked by the Secretary if such church or organization fails to furnish the information required under section 6051 to the Secretary for a period of 2 years or more with respect to remuneration paid for such services by such church or organization, and, upon request by the Secretary, fails to furnish all such previously unfurnished information for the period covered by the election. Any revocation under the preceding sentence shall apply retroactively to the beginning of the 2-year period for which the information was not furnished.
(3)Definitions
(A)For purposes of this subsection, the term “church” means a church, a convention or association of churches, or an elementary or secondary school which is controlled, operated, or principally supported by a church or by a convention or association of churches.
(B)For purposes of this subsection, the term “qualified church-controlled organization” means any church-controlled tax-exempt organization described in section 501(c)(3), other than an organization which—
(i)offers goods, services, or facilities for sale, other than on an incidental basis, to the general public, other than goods, services, or facilities which are sold at a nominal charge which is substantially less than the cost of providing such goods, services, or facilities; and
(ii)normally receives more than 25 percent of its support from either (I) governmental sources, or (II) receipts from admissions, sales of merchandise, performance of services, or furnishing of facilities, in activities which are not unrelated trades or businesses, or both.
(x)Applicable dollar threshold
For purposes of subsection (a)(7)(B), the term “applicable dollar threshold” means $1,000. In the case of calendar years after 1995, the Commissioner of Social Security shall adjust such $1,000 amount at the same time and in the same manner as under section 215(a)(1)(B)(ii) of the Social Security Act with respect to the amounts referred to in section 215(a)(1)(B)(i) of such Act, except that, for purposes of this paragraph, 1993 shall be substituted for the calendar year referred to in section 215(a)(1)(B)(ii)(II) of such Act. If any amount as adjusted under the preceding sentence is not a multiple of $100, such amount shall be rounded to the next lowest multiple of $100.
(y)Service in the employ of international organizations by certain transferred Federal employees
(1)In general
For purposes of this chapter, service performed in the employ of an international organization by an individual pursuant to a transfer of such individual to such international organization pursuant to section 3582 of title 5, United States Code, shall constitute “employment” if—
(A)immediately before such transfer, such individual performed service with a Federal agency which constituted “employment” under subsection (b) for purposes of the taxes imposed by sections 3101(a) and 3111(a), and
(B)such individual would be entitled, upon separation from such international organization and proper application, to reemployment with such Federal agency under such section 3582.
(2)Definitions
For purposes of this subsection—
(A)Federal agency
The term “Federal agency” means an agency, as defined in section 3581(1) of title 5, United States Code.
(B)International organization
The term “international organization” has the meaning provided such term by section 3581(3) of title 5, United States Code.
(z)Treatment of certain foreign persons as American employers
(1)In general
If any employee of a foreign person is performing services in connection with a contract between the United States Government (or any instrumentality thereof) and any member of any domestically controlled group of entities which includes such foreign person, such foreign person shall be treated for purposes of this chapter as an American employer with respect to such services performed by such employee.
(2)Domestically controlled group of entities
For purposes of this subsection—
(A)In general
The term “domestically controlled group of entities” means a controlled group of entities the common parent of which is a domestic corporation.
(B)Controlled group of entities
The term “controlled group of entities” means a controlled group of corporations as defined in section 1563(a)(1), except that—
(i)“more than 50 percent” shall be substituted for “at least 80 percent” each place it appears therein, and
(ii)the determination shall be made without regard to subsections (a)(4) and (b)(2) of section 1563.
A partnership or any other entity (other than a corporation) shall be treated as a member of a controlled group of entities if such entity is controlled (within the meaning of section 954(d)(3)) by members of such group (including any entity treated as a member of such group by reason of this sentence).
(3)Liability of common parent
In the case of a foreign person who is a member of any domestically controlled group of entities, the common parent of such group shall be jointly and severally liable for any tax under this chapter for which such foreign person is liable by reason of this subsection, and for any penalty imposed on such person by this title with respect to any failure to pay such tax or to file any return or statement with respect to such tax or wages subject to such tax. No deduction shall be allowed under this title for any liability imposed by the preceding sentence.
(4)Provisions preventing double taxation
(A)Agreements
Paragraph (1) shall not apply to any services which are covered by an agreement under subsection (l).
(B)Equivalent foreign taxation
Paragraph (1) shall not apply to any services if the employer establishes to the satisfaction of the Secretary that the remuneration paid by such employer for such services is subject to a tax imposed by a foreign country which is substantially equivalent to the taxes imposed by this chapter.
(5)Cross reference
For relief from taxes in cases covered by certain international agreements, see sections 3101(c) and 3111(c).
(Aug. 16, 1954, ch. 736, 68A Stat. 417; Sept. 1, 1954, ch. 1206, title II, §§ 204(a), (b), 205(a)–(e), 206(a), 207, 209, 68 Stat. 1091–1094; Aug. 1, 1956, ch. 836, title I, §§ 103(j), 121(d), title II, §§ 201(b)–(d), (e)(1), (h)(1), (2), (j)–(l), 70 Stat. 824, 839–841, 843; Aug. 1, 1956, ch. 837, title IV, §§ 410, 411(a), 70 Stat. 878; Pub. L. 85–840, title IV, §§ 402(b), 404(a), 405(a), (b), Aug. 28, 1958, 72 Stat. 1042, 1044–1046; Pub. L. 85–866, title I, § 69, Sept. 2, 1958, 72 Stat. 1659; Pub. L. 86–70, § 22(a), June 25, 1959, 73 Stat. 146; Pub. L. 86–168, title I, § 104(h), title II, § 202(a), Aug. 18, 1959, 73 Stat. 387, 389; Pub. L. 86–624, § 18(c), July 12, 1960, 74 Stat. 416; Pub. L. 86–778, title I, §§ 103(n)–(p), 104(b), 105(a), Sept. 13, 1960, 74 Stat. 938, 939, 942; Pub. L. 87–256, § 110(e)(1), Sept. 21, 1961, 75 Stat. 536; Pub. L. 87–293, title II, § 202(a)(1), (2), Sept. 22, 1961, 75 Stat. 626; Pub. L. 88–272, title II, § 220(c)(2), Feb. 26, 1964, 78 Stat. 62; Pub. L. 88–650, § 4(b), Oct. 13, 1964, 78 Stat. 1077; Pub. L. 89–97, title III, §§ 311(b)(4), (5), 313(c)(3), (4), 316(a)(1), (b), 317(b), 320(b)(2), July 30, 1965, 79 Stat. 381, 383, 386, 388, 393; Pub. L. 90–248, title I, §§ 108(b)(2), 123(b), title IV, § 403(i), title V, § 504(a), Jan. 2, 1968, 81 Stat. 835, 845, 932, 934; Pub. L. 91–172, title IX, § 943(c)(1)–(3), Dec. 30, 1969, 83 Stat. 728; Pub. L. 92–5, title II, § 203(b)(2), Mar. 17, 1971, 85 Stat. 11; Pub. L. 92–336, title II, § 203(b)(2), July 1, 1972, 86 Stat. 419; Pub. L. 92–603, title I, §§ 104(i), 122(b), 123(a)(2), (b), (c)(2), 128(b), 129(a)(2), 138(b), Oct. 30, 1972, 86 Stat. 1341, 1354, 1356, 1358, 1359, 1365; Pub. L. 93–66, title II, § 203(b)(2), (d), July 9, 1973, 87 Stat. 153; Pub. L. 93–233, § 5(b)(2), (d), Dec. 31, 1973, 87 Stat. 954; Pub. L. 94–455, title XII, § 1207(e)(1)(A), title XIX, §§ 1903(a)(3), 1906(b)(13)(A), (C), Oct. 4, 1976, 90 Stat. 1706, 1807, 1834; Pub. L. 94–563, § 1(b), (c), Oct. 19, 1976, 90 Stat. 2655; Pub. L. 95–216, title III, §§ 312(a), (b), (d), (f), (g), 314(a), 315(a), 356(a)–(d), Dec. 20, 1977, 91 Stat. 1532–1536, 1555; Pub. L. 95–472, § 3(b), Oct. 17, 1978, 92 Stat. 1333; Pub. L. 95–600, title I, § 164(b)(3), Nov. 6, 1978, 92 Stat. 2814; Pub. L. 96–222, title I, § 101(a)(10)(B)(i), Apr. 1, 1980, 94 Stat. 201; Pub. L. 96–499, title XI, § 1141(a)(1), Dec. 5, 1980, 94 Stat. 2693; Pub. L. 97–34, title I, § 124(e)(2)(A), Aug. 13, 1981, 95 Stat. 200; Pub. L. 97–123, § 3(b), Dec. 29, 1981, 95 Stat. 1662; Pub. L. 97–248, title II, § 278(a)(1), Sept. 3, 1982, 96 Stat. 559; Pub. L. 98–21, title I, §§ 101(b), (c)(2), 102(b), title III, §§ 321(a), (e)(1), 322(a)(2), 323(a)(1), 324(a), 327(a)(1), (b)(1), 328(a), Apr. 20, 1983, 97 Stat. 69, 70, 118, 119, 121, 122, 126–128; Pub. L. 98–369, div. A, title I, § 67(c), title IV, § 491(d)(36), title V, § 531(d)(1)(A), div. B, title VI, §§ 2601(b), 2603(a)(2), (b), 2661(o)(3), 2663(i), (j)(5)(C), July 18, 1984, 98 Stat. 587, 851, 884, 1124, 1128, 1159, 1169, 1171; Pub. L. 99–221, § 3(b), Dec. 26, 1985, 99 Stat. 1735; Pub. L. 99–272, title XII, § 12112(b), title XIII, §§ 13205(a)(1), 13303(c)(2), Apr. 7, 1986, 100 Stat. 288, 313, 327; Pub. L. 99–335, title III, § 304(b), June 6, 1986, 100 Stat. 606; Pub. L. 99–509, title IX, § 9002(b)(1)(A), (2)(A), Oct. 21, 1986, 100 Stat. 1971; Pub. L. 99–514, title I, § 122(e)(1), title XI, §§ 1108(g)(7), 1147(b), 1151(d)(2)(A), title XVIII, §§ 1882(c), 1883(a)(11)(B), 1895(b)(18)(A), 1899A(38)–(40), Oct. 22, 1986, 100 Stat. 2112, 2435, 2494, 2505, 2915, 2916, 2935, 2960; Pub. L. 100–203, title IX, §§ 9001(b), 9002(b), 9003(a)(2), 9004(b), 9005(b), 9006(a), (b)(2), 9023(d), Dec. 22, 1987, 101 Stat. 1330–286 to 1330–289, 1330–296; Pub. L. 100–647, title I, §§ 1001(d)(2)(C)(i), (g)(4)(B)(i), 1011(e)(8), 1011B(a)(22)(A), (23)(A), 1018(r)(2)(A), (u)(35), title III, § 3043(c)(2), title VIII, §§ 8015(b)(2), (c)(2), 8016(a)(3)(A), (4)(A), (C), 8017(b), Nov. 10, 1988, 102 Stat. 3351, 3352, 3461, 3485, 3486, 3586, 3592, 3642, 3791–3793; Pub. L. 101–140, title II, § 203(a)(2), Nov. 8, 1989, 103 Stat. 830; Pub. L. 101–239, title X, § 10201(a), (b)(3), Dec. 19, 1989, 103 Stat. 2472; Pub. L. 101–508, title XI, §§ 11331(a), 11332(b), Nov. 5, 1990, 104 Stat. 1388–467, 1388–469; Pub. L. 101–650, title III, § 321, Dec. 1, 1990, 104 Stat. 5117; Pub. L. 102–318, title V, § 521(b)(34), July 3, 1992, 106 Stat. 312; Pub. L. 103–66, title XIII, § 13207(a), Aug. 10, 1993, 107 Stat. 467; Pub. L. 103–178, title II, § 204(c), Dec. 3, 1993, 107 Stat. 2033; Pub. L. 103–296, title I, § 108(h)(2), title III, §§ 303(a)(2), (b)(2), 319(a)(1), (5), 320(a)(1)(C), Aug. 15, 1994, 108 Stat. 1487, 1519, 1533–1535; Pub. L. 103–387, § 2(a)(1)(A)–(C), Oct. 22, 1994, 108 Stat. 4071; Pub. L. 104–188, title I, §§ 1116(a)(1)(A), (B), 1421(b)(8)(A), 1458(b)(1), Aug. 20, 1996, 110 Stat. 1762, 1798, 1819; Pub. L. 105–33, title XI, § 11246(b)(2)(A), as added Pub. L. 105–277, div. A, § 101(h) [title VIII, § 802(a)(2)], Oct. 21, 1998, 112 Stat. 2681–480, 2681–532; Pub. L. 105–61, title VI, § 642(d)(2), Oct. 10, 1997, 111 Stat. 1319; Pub. L. 105–206, title VI, § 6023(13), July 22, 1998, 112 Stat. 825; Pub. L. 106–554, § 1(a)(7) [title III, § 319(15)], Dec. 21, 2000, 114 Stat. 2763, 2763A–647; Pub. L. 108–121, title I, § 106(b)(2), Nov. 11, 2003, 117 Stat. 1339; Pub. L. 108–203, title IV, § 423(a), (c), Mar. 2, 2004, 118 Stat. 536; Pub. L. 108–357, title II, § 251(a)(1)(A), title III, § 320(b)(1), title VIII, § 802(c)(1), Oct. 22, 2004, 118 Stat. 1458, 1473, 1568; Pub. L. 108–375, div. A, title V, § 585(b)(2)(B), Oct. 28, 2004, 118 Stat. 1932; Pub. L. 109–280, title VIII, § 854(c)(8), Aug. 17, 2006, 120 Stat. 1018; Pub. L. 110–172, § 8(a)(2), Dec. 29, 2007, 121 Stat. 2483; Pub. L. 110–245, title I, § 115(a)(1), title III, § 302(a), June 17, 2008, 122 Stat. 1636, 1647; Pub. L. 110–458, title I, § 108(k)(1), Dec. 23, 2008, 122 Stat. 5110; Pub. L. 113–295, div. A, title II, § 221(a)(19)(B)(iv), (99)(C)(i), Dec. 19, 2014, 128 Stat. 4040, 4052; Pub. L. 115–141, div. U, title IV, § 401(a)(209), (210), (325)(A), Mar. 23, 2018, 132 Stat. 1194, 1199; Pub. L. 115–243, § 2(b)(2), Sept. 20, 2018, 132 Stat. 2895; Pub. L. 116–94, div. O, title III, § 301(c), Dec. 20, 2019, 133 Stat. 3175; Pub. L. 117–328, div. T, title VII, § 702(b)(1), Dec. 29, 2022, 136 Stat. 5404.)
</v>
      </c>
      <c r="M6" s="4"/>
      <c r="N6" s="4"/>
      <c r="O6" s="4"/>
      <c r="P6" s="4"/>
      <c r="Q6" s="4"/>
      <c r="R6" s="4"/>
      <c r="S6" s="19">
        <f>IFERROR(__xludf.DUMMYFUNCTION("""COMPUTED_VALUE"""),46023.0)</f>
        <v>46023</v>
      </c>
      <c r="T6" s="4" t="str">
        <f>IFERROR(__xludf.DUMMYFUNCTION("""COMPUTED_VALUE"""),"ACTIVE")</f>
        <v>ACTIVE</v>
      </c>
      <c r="U6" s="4"/>
      <c r="V6" s="4"/>
      <c r="W6" s="4"/>
      <c r="X6" s="4"/>
      <c r="Y6" s="4"/>
      <c r="Z6" s="4"/>
    </row>
    <row r="7">
      <c r="A7" s="13" t="s">
        <v>20</v>
      </c>
      <c r="B7" s="13" t="s">
        <v>21</v>
      </c>
      <c r="C7" s="4" t="s">
        <v>145</v>
      </c>
      <c r="D7" s="4" t="s">
        <v>146</v>
      </c>
      <c r="E7" s="4" t="s">
        <v>147</v>
      </c>
      <c r="F7" s="1" t="s">
        <v>148</v>
      </c>
      <c r="G7" s="4" t="s">
        <v>149</v>
      </c>
      <c r="H7" s="16" t="s">
        <v>150</v>
      </c>
      <c r="I7" s="17">
        <v>46023.0</v>
      </c>
      <c r="J7" s="1" t="s">
        <v>128</v>
      </c>
      <c r="K7" s="4" t="str">
        <f>IFERROR(__xludf.DUMMYFUNCTION("""COMPUTED_VALUE"""),"§199A")</f>
        <v>§199A</v>
      </c>
      <c r="L7" s="4" t="str">
        <f>IFERROR(__xludf.DUMMYFUNCTION("""COMPUTED_VALUE"""),"(a)Allowance of deduction
In the case of a taxpayer other than a corporation, except as provided in subsection (i), there shall be allowed as a deduction for any taxable year an amount equal to the lesser of—
(1)the combined qualified business income amou"&amp;"nt of the taxpayer, or
(2)an amount equal to 20 percent of the excess (if any) of—
(A)the taxable income of the taxpayer for the taxable year, over
(B)the net capital gain (as defined in section 1(h)) of the taxpayer for such taxable year.
(b)Combined qua"&amp;"lified business income amount
For purposes of this section—
(1)In general
The term “combined qualified business income amount” means, with respect to any taxable year, an amount equal to—
(A)the sum of the amounts determined under paragraph (2) for each q"&amp;"ualified trade or business carried on by the taxpayer, plus
(B)20 percent of the aggregate amount of the qualified REIT dividends and qualified publicly traded partnership income of the taxpayer for the taxable year.
(2)Determination of deductible amount "&amp;"for each trade or business
The amount determined under this paragraph with respect to any qualified trade or business is the lesser of—
(A)20 percent of the taxpayer’s qualified business income with respect to the qualified trade or business, or
(B)the gr"&amp;"eater of—
(i)50 percent of the W–2 wages with respect to the qualified trade or business, or
(ii)the sum of 25 percent of the W–2 wages with respect to the qualified trade or business, plus 2.5 percent of the unadjusted basis immediately after acquisition"&amp;" of all qualified property.
(3)Modifications to limit based on taxable income
(A)Exception from limit
In the case of any taxpayer whose taxable income for the taxable year does not exceed the threshold amount, paragraph (2) shall be applied without regard"&amp;" to subparagraph (B).
(B)Phase-in of limit for certain taxpayers
(i)In general
If—
(I)the taxable income of a taxpayer for any taxable year exceeds the threshold amount, but does not exceed the sum of the threshold amount plus $75,000 ($150,000 in the ca"&amp;"se of a joint return), and
(II)the amount determined under paragraph (2)(B) (determined without regard to this subparagraph) with respect to any qualified trade or business carried on by the taxpayer is less than the amount determined under paragraph (2)("&amp;"A) with respect such trade or business,
 then paragraph (2) shall be applied with respect to such trade or business without regard to subparagraph (B) thereof and by reducing the amount determined under subparagraph (A) thereof by the amount determined un"&amp;"der clause (ii).
(ii)Amount of reduction
The amount determined under this subparagraph is the amount which bears the same ratio to the excess amount as—
(I)the amount by which the taxpayer’s taxable income for the taxable year exceeds the threshold amount"&amp;", bears to
(II)$75,000 ($150,000 in the case of a joint return).
(iii)Excess amount
For purposes of clause (ii), the excess amount is the excess of—
(I)the amount determined under paragraph (2)(A) (determined without regard to this paragraph), over
(II)th"&amp;"e amount determined under paragraph (2)(B) (determined without regard to this paragraph).
(4)Wages, etc.
(A)In general
The term “W–2 wages” means, with respect to any person for any taxable year of such person, the amounts described in paragraphs (3) and "&amp;"(8) of section 6051(a) paid by such person with respect to employment of employees by such person during the calendar year ending during such taxable year.
(B)Limitation to wages attributable to qualified business income
Such term shall not include any a"&amp;"mount which is not properly allocable to qualified business income for purposes of subsection (c)(1).
(C)Return requirement
Such term shall not include any amount which is not properly included in a return filed with the Social Security Administration on"&amp;" or before the 60th day after the due date (including extensions) for such return.
(5)Acquisitions, dispositions, and short taxable years
The Secretary shall provide for the application of this subsection in cases of a short taxable year or where the tax"&amp;"payer acquires, or disposes of, the major portion of a trade or business or the major portion of a separate unit of a trade or business during the taxable year.
(6)Qualified property
For purposes of this section:
(A)In general
The term “qualified propert"&amp;"y” means, with respect to any qualified trade or business for a taxable year, tangible property of a character subject to the allowance for depreciation under section 167—
(i)which is held by, and available for use in, the qualified trade or business at t"&amp;"he close of the taxable year,
(ii)which is used at any point during the taxable year in the production of qualified business income, and
(iii)the depreciable period for which has not ended before the close of the taxable year.
(B)Depreciable period
The te"&amp;"rm “depreciable period” means, with respect to qualified property of a taxpayer, the period beginning on the date the property was first placed in service by the taxpayer and ending on the later of—
(i)the date that is 10 years after such date, or
(ii)the"&amp;" last day of the last full year in the applicable recovery period that would apply to the property under section 168 (determined without regard to subsection (g) thereof).
(7)Special rule with respect to income received from cooperatives
In the case of an"&amp;"y qualified trade or business of a patron of a specified agricultural or horticultural cooperative, the amount determined under paragraph (2) with respect to such trade or business shall be reduced by the lesser of—
(A)9 percent of so much of the qualifie"&amp;"d business income with respect to such trade or business as is properly allocable to qualified payments received from such cooperative, or
(B)50 percent of so much of the W–2 wages with respect to such trade or business as are so allocable.
(c)Qualified b"&amp;"usiness income
For purposes of this section—
(1)In general
The term “qualified business income” means, for any taxable year, the net amount of qualified items of income, gain, deduction, and loss with respect to any qualified trade or business of the taxp"&amp;"ayer. Such term shall not include any qualified REIT dividends or qualified publicly traded partnership income.
(2)Carryover of losses
If the net amount of qualified income, gain, deduction, and loss with respect to qualified trades or businesses of the "&amp;"taxpayer for any taxable year is less than zero, such amount shall be treated as a loss from a qualified trade or business in the succeeding taxable year.
(3)Qualified items of income, gain, deduction, and loss
For purposes of this subsection—
(A)In gene"&amp;"ral
The term “qualified items of income, gain, deduction, and loss” means items of income, gain, deduction, and loss to the extent such items are—
(i)effectively connected with the conduct of a trade or business within the United States (within the meanin"&amp;"g of section 864(c), determined by substituting “qualified trade or business (within the meaning of section 199A)” for “nonresident alien individual or a foreign corporation” or for “a [1] foreign corporation” each place it appears), and
(ii)included or a"&amp;"llowed in determining taxable income for the taxable year.
(B)Exceptions
The following items shall not be taken into account as a qualified item of income, gain, deduction, or loss:
(i)Any item of short-term capital gain, short-term capital loss, long-ter"&amp;"m capital gain, or long-term capital loss.
(ii)Any dividend, income equivalent to a dividend, or payment in lieu of dividends described in section 954(c)(1)(G). Any amount described in section 1385(a)(1) shall not be treated as described in this clause.
("&amp;"iii)Any interest income other than interest income which is properly allocable to a trade or business.
(iv)Any item of gain or loss described in subparagraph (C) or (D) of section 954(c)(1) (applied by substituting “qualified trade or business” for “contr"&amp;"olled foreign corporation”).
(v)Any item of income, gain, deduction, or loss taken into account under section 954(c)(1)(F) (determined without regard to clause (ii) thereof and other than items attributable to notional principal contracts entered into in "&amp;"transactions qualifying under section 1221(a)(7)).
(vi)Any amount received from an annuity which is not received in connection with the trade or business.
(vii)Any item of deduction or loss properly allocable to an amount described in any of the preceding"&amp;" clauses.
(4)Treatment of reasonable compensation and guaranteed payments
Qualified business income shall not include—
(A)reasonable compensation paid to the taxpayer by any qualified trade or business of the taxpayer for services rendered with respect to"&amp;" the trade or business,
(B)any guaranteed payment described in section 707(c) paid to a partner for services rendered with respect to the trade or business,
(C)to the extent provided in regulations, any payment described in section 707(a) to a partner for"&amp;" services rendered with respect to the trade or business, and
(D)any amount with respect to which a deduction is allowable to the taxpayer under section 224(a) for the taxable year.
(d)Qualified trade or business
For purposes of this section—
(1)In genera"&amp;"l
The term “qualified trade or business” means any trade or business other than—
(A)a specified service trade or business, or
(B)the trade or business of performing services as an employee.
(2)Specified service trade or business
The term “specified servic"&amp;"e trade or business” means any trade or business—
(A)which is described in section 1202(e)(3)(A) (applied without regard to the words “engineering, architecture,”) or which would be so described if the term “employees or owners” were substituted for “empl"&amp;"oyees” therein, or
(B)which involves the performance of services that consist of investing and investment management, trading, or dealing in securities (as defined in section 475(c)(2)), partnership interests, or commodities (as defined in section 475(e)("&amp;"2)).
(3)Exception for specified service businesses based on taxpayer’s income
(A)In general
If, for any taxable year, the taxable income of any taxpayer is less than the sum of the threshold amount plus $75,000 ($150,000 in the case of a joint return), th"&amp;"en—
(i)any specified service trade or business of the taxpayer shall not fail to be treated as a qualified trade or business due to paragraph (1)(A), but
(ii)only the applicable percentage of qualified items of income, gain, deduction, or loss, and the W–"&amp;"2 wages and the unadjusted basis immediately after acquisition of qualified property, of the taxpayer allocable to such specified service trade or business shall be taken into account in computing the qualified business income, W–2 wages, and the unadjust"&amp;"ed basis immediately after acquisition of qualified property of the taxpayer for the taxable year for purposes of applying this section.
(B)Applicable percentage
For purposes of subparagraph (A), the term “applicable percentage” means, with respect to any"&amp;" taxable year, 100 percent reduced (not below zero) by the percentage equal to the ratio of—
(i)the taxable income of the taxpayer for the taxable year in excess of the threshold amount, bears to
(ii)$75,000 ($150,000 in the case of a joint return).
(e)Ot"&amp;"her definitions
For purposes of this section—
(1)Taxable income
Except as otherwise provided in subsection (g)(2)(B), taxable income shall be computed without regard to section 68 and without regard to any deduction allowable under this section.
(2)Thres"&amp;"hold amount
(A)In general
The term “threshold amount” means $157,500 (200 percent of such amount in the case of a joint return).
(B)Inflation adjustment
In the case of any taxable year beginning after 2018, the dollar amount in subparagraph (A) shall be "&amp;"increased by an amount equal to—
(i)such dollar amount, multiplied by
(ii)the cost-of-living adjustment determined under section 1(f)(3) for the calendar year in which the taxable year begins, determined by substituting “calendar year 2017” for “calendar "&amp;"year 2016” in subparagraph (A)(ii) thereof.
The amount of any increase under the preceding sentence shall be rounded as provided in section 1(f)(7).
(3)Qualified REIT dividend
The term “qualified REIT dividend” means any dividend from a real estate invest"&amp;"ment trust received during the taxable year which—
(A)is not a capital gain dividend, as defined in section 857(b)(3), and
(B)is not qualified dividend income, as defined in section 1(h)(11).
(4)Qualified publicly traded partnership income
The term “quali"&amp;"fied publicly traded partnership income” means, with respect to any qualified trade or business of a taxpayer, the sum of—
(A)the net amount of such taxpayer’s allocable share of each qualified item of income, gain, deduction, and loss (as defined in subs"&amp;"ection (c)(3) and determined after the application of subsection (c)(4)) from a publicly traded partnership (as defined in section 7704(a)) [2] which is not treated as a corporation under section 7704(c), plus
(B)any gain recognized by such taxpayer upon "&amp;"disposition of its interest in such partnership to the extent such gain is treated as an amount realized from the sale or exchange of property other than a capital asset under section 751(a).
(f)Special rules
(1)Application to partnerships and S corporati"&amp;"ons
(A)In general
In the case of a partnership or S corporation—
(i)this section shall be applied at the partner or shareholder level,
(ii)each partner or shareholder shall take into account such person’s allocable share of each qualified item of income, "&amp;"gain, deduction, and loss, and
(iii)each partner or shareholder shall be treated for purposes of subsection (b) as having W–2 wages and unadjusted basis immediately after acquisition of qualified property for the taxable year in an amount equal to such pe"&amp;"rson’s allocable share of the W–2 wages and the unadjusted basis immediately after acquisition of qualified property of the partnership or S corporation for the taxable year (as determined under regulations prescribed by the Secretary).
For purposes of cl"&amp;"ause (iii), a partner’s or shareholder’s allocable share of W–2 wages shall be determined in the same manner as the partner’s or shareholder’s allocable share of wage expenses. For purposes of such clause, partner’s or shareholder’s allocable share of the"&amp;" unadjusted basis immediately after acquisition of qualified property shall be determined in the same manner as the partner’s or shareholder’s allocable share of depreciation. For purposes of this subparagraph, in the case of an S corporation, an allocabl"&amp;"e share shall be the shareholder’s pro rata share of an item.
(B)Application to trusts and estates
Rules similar to the rules under section 199(d)(1)(B)(i) (as in effect on December 1, 2017) for the apportionment of W–2 wages shall apply to the apportionm"&amp;"ent of W–2 wages and the apportionment of unadjusted basis immediately after acquisition of qualified property under this section.
(C)Treatment of trades or business in Puerto Rico
(i)In general
In the case of any taxpayer with qualified business income "&amp;"from sources within the commonwealth of Puerto Rico, if all such income is taxable under section 1 for such taxable year, then for purposes of determining the qualified business income of such taxpayer for such taxable year, the term “United States” shall"&amp;" include the Commonwealth of Puerto Rico.
(ii)Special rule for applying limit
In the case of any taxpayer described in clause (i), the determination of W–2 wages of such taxpayer with respect to any qualified trade or business conducted in Puerto Rico sh"&amp;"all be made without regard to any exclusion under section 3401(a)(8) for remuneration paid for services in Puerto Rico.
(2)Coordination with minimum tax
For purposes of determining alternative minimum taxable income under section 55, qualified business i"&amp;"ncome shall be determined without regard to any adjustments under sections 56 through 59.
(3)Deduction limited to income taxes
The deduction under subsection (a) shall only be allowed for purposes of this chapter.
(4)Regulations
The Secretary shall pres"&amp;"cribe such regulations as are necessary to carry out the purposes of this section, including regulations—
(A)for requiring or restricting the allocation of items and wages under this section and such reporting requirements as the Secretary determines appr"&amp;"opriate, and
(B)for the application of this section in the case of tiered entities.
(g)Deduction for income attributable to domestic production activities of specified agricultural or horticultural cooperatives
(1)Allowance of deduction
(A)In general
In t"&amp;"he case of a taxpayer which is a specified agricultural or horticultural cooperative, there shall be allowed as a deduction an amount equal to 9 percent of the lesser of—
(i)the qualified production activities income of the taxpayer for the taxable year, "&amp;"or
(ii)the taxable income of the taxpayer for the taxable year.
(B)Limitation
(i)In general
The deduction allowable under subparagraph (A) for any taxable year shall not exceed 50 percent of the W–2 wages of the taxpayer for the taxable year.
(ii)W–2 wag"&amp;"es
For purposes of this subparagraph, the W–2 wages of the taxpayer shall be determined in the same manner as under subsection (b)(4) (without regard to subparagraph (B) thereof and after application of subsection (b)(5)), except that such wages shall not"&amp;" include any amount which is not properly allocable to domestic production gross receipts for purposes of paragraph (3)(A).
(C)Taxable income of cooperatives determined without regard to certain deductions
For purposes of this subsection, the taxable inc"&amp;"ome of a specified agricultural or horticultural cooperative shall be computed without regard to any deduction allowable under subsection (b) or (c) of section 1382 (relating to patronage dividends, per-unit retain allocations, and nonpatronage distributi"&amp;"ons).
(2)Deduction allowed to patrons
(A)In general
In the case of any eligible taxpayer who receives a qualified payment from a specified agricultural or horticultural cooperative, there shall be allowed as a deduction for the taxable year in which such"&amp;" payment is received an amount equal to the portion of the deduction allowed under paragraph (1) to such cooperative which is—
(i)allowed with respect to the portion of the qualified production activities income to which such payment is attributable, and
"&amp;"(ii)identified by such cooperative in a written notice mailed to such taxpayer during the payment period described in section 1382(d).
(B)Limitation based on taxable income
The deduction allowed to any taxpayer under this paragraph shall not exceed the ta"&amp;"xable income of the taxpayer determined without regard to section 68 or the deduction allowed under this paragraph and after taking into account any deduction allowed to the taxpayer under subsection (a) for the taxable year.
(C)Cooperative denied deduct"&amp;"ion for portion of qualified payments
The taxable income of a specified agricultural or horticultural cooperative shall not be reduced under section 1382 by reason of that portion of any qualified payment as does not exceed the deduction allowable under s"&amp;"ubparagraph (A) with respect to such payment.
(D)Eligible taxpayer
For purposes of this paragraph, the term “eligible taxpayer” means—
(i)a taxpayer other than a corporation, or
(ii)a specified agricultural or horticultural cooperative.
(E)Qualified paym"&amp;"ent
For purposes of this section, the term “qualified payment” means, with respect to any eligible taxpayer, any amount which—
(i)is described in paragraph (1) or (3) of section 1385(a),
(ii)is received by such taxpayer from a specified agricultural or ho"&amp;"rticultural cooperative, and
(iii)is attributable to qualified production activities income with respect to which a deduction is allowed to such cooperative under paragraph (1).
(3)Qualified production activities income
For purposes of this subsection—
(A"&amp;")In general
The term “qualified production activities income” for any taxable year means an amount equal to the excess (if any) of—
(i)the taxpayer’s domestic production gross receipts for such taxable year, over
(ii)the sum of—
(I)the cost of goods sold "&amp;"that are allocable to such receipts, and
(II)other expenses, losses, or deductions (other than the deduction allowed under this subsection), which are properly allocable to such receipts.
(B)Allocation method
The Secretary shall prescribe rules for the pr"&amp;"oper allocation of items described in subparagraph (A) for purposes of determining qualified production activities income. Such rules shall provide for the proper allocation of items whether or not such items are directly allocable to domestic production "&amp;"gross receipts.
(C)Special rules for determining costs
(i)In general
For purposes of determining costs under subclause (I) of subparagraph (A)(ii), any item or service brought into the United States shall be treated as acquired by purchase, and its cost "&amp;"shall be treated as not less than its value immediately after it entered the United States. A similar rule shall apply in determining the adjusted basis of leased or rented property where the lease or rental gives rise to domestic production gross receipt"&amp;"s.
(ii)Exports for further manufacture
In the case of any property described in clause (i) that had been exported by the taxpayer for further manufacture, the increase in cost or adjusted basis under clause (i) shall not exceed the difference between the"&amp;" value of the property when exported and the value of the property when brought back into the United States after the further manufacture.
(D)Domestic production gross receipts
(i)In general
The term “domestic production gross receipts” means the gross r"&amp;"eceipts of the taxpayer which are derived from any lease, rental, license, sale, exchange, or other disposition of any agricultural or horticultural product which was manufactured, produced, grown, or extracted by the taxpayer (determined after the applic"&amp;"ation of paragraph (4)(B)) in whole or significant part within the United States. Such term shall not include gross receipts of the taxpayer which are derived from the lease, rental, license, sale, exchange, or other disposition of land.
(ii)Related pers"&amp;"ons
(I)In general
The term “domestic production gross receipts” shall not include any gross receipts of the taxpayer derived from property leased, licensed, or rented by the taxpayer for use by any related person.
(II)Related person
For purposes of subcl"&amp;"ause (I), a person shall be treated as related to another person if such persons are treated as a single employer under subsection (a) or (b) of section 52 or subsection (m) or (o) of section 414, except that determinations under subsections (a) and (b) o"&amp;"f section 52 shall be made without regard to section 1563(b).
(4)Specified agricultural or horticultural cooperative
For purposes of this section—
(A)In general
The term “specified agricultural or horticultural cooperative” means an organization to which"&amp;" part I of subchapter T applies which is engaged—
(i)in the manufacturing, production, growth, or extraction in whole or significant part of any agricultural or horticultural product, or
(ii)in the marketing of agricultural or horticultural products.
(B)A"&amp;"pplication to marketing cooperatives
A specified agricultural or horticultural cooperative described in subparagraph (A)(ii) shall be treated as having manufactured, produced, grown, or extracted in whole or significant part any agricultural or horticultu"&amp;"ral product marketed by the specified agricultural or horticultural cooperative which its patrons have so manufactured, produced, grown, or extracted.
(5)Definitions and special rules
(A)Special rule for affiliated groups
(i)In general
All members of an "&amp;"expanded affiliated group shall be treated as a single corporation for purposes of this subsection.
(ii)Partnerships owned by expanded affiliated groups
For purposes of paragraph (3)(D), if all of the interests in the capital and profits of a partnership"&amp;" are owned by members of a single expanded affiliated group at all times during the taxable year of such partnership, the partnership and all members of such group shall be treated as a single taxpayer during such period.
(iii)Expanded affiliated group
F"&amp;"or purposes of this subsection, the term “expanded affiliated group” means an affiliated group as defined in section 1504(a), determined—
(I)by substituting “more than 50 percent” for “at least 80 percent” each place it appears, and
(II)without regard to "&amp;"paragraphs (2) and (4) of section 1504(b).
(iv)Allocation of deduction
Except as provided in regulations, the deduction under paragraph (1) shall be allocated among the members of the expanded affiliated group in proportion to each member’s respective amo"&amp;"unt (if any) of qualified production activities income.
(B)Special rule for cooperative partners
In the case of a specified agricultural or horticultural cooperative which is a partner in a partnership, rules similar to the rules of subsection (f)(1) sha"&amp;"ll apply for purposes of this subsection.
(C)Trade or business requirement
This subsection shall be applied by only taking into account items which are attributable to the actual conduct of a trade or business.
(D)Unrelated business taxable income
For p"&amp;"urposes of determining the tax imposed by section 511, this section shall be applied by substituting “unrelated business taxable income” for “taxable income” each place it appears in this section (other than this subparagraph).
(E)Special rule for cooper"&amp;"ative with oil related qualified production activities income
(i)In general
If a specified agricultural or horticultural cooperative has oil related qualified production activities income for any taxable year, the amount otherwise allowable as a deduction"&amp;" under paragraph (1) shall be reduced by 3 percent of the least of—
(I)the oil related qualified production activities income of the cooperative for the taxable year,
(II)the qualified production activities income of the cooperative for the taxable year, "&amp;"or
(III)taxable income.
(ii)Oil related qualified production activities income
For purposes of this subparagraph, the term “oil related qualified production activities income” means for any taxable year the qualified production activities income which is "&amp;"attributable to the production, refining, processing, transportation, or distribution of oil, gas, or any primary product thereof (within the meaning of section 927(a)(2)(C), as in effect before its repeal) during such taxable year.
(6)Regulations
The Se"&amp;"cretary shall prescribe such regulations as are necessary to carry out the purposes of this subsection, including regulations which prevent more than 1 taxpayer from being allowed a deduction under this subsection with respect to any activity described in"&amp;" paragraph (3)(D)(i). Such regulations shall be based on the regulations applicable to cooperatives and their patrons under section 199 (as in effect before its repeal).
(h)Anti-abuse rules
The Secretary shall—
(1)apply rules similar to the rules under s"&amp;"ection 179(d)(2) in order to prevent the manipulation of the depreciable period of qualified property using transactions between related parties, and
(2)prescribe rules for determining the unadjusted basis immediately after acquisition of qualified proper"&amp;"ty acquired in like-kind exchanges or involuntary conversions.
(i)Minimum deduction for active qualified business income
(1)In general
In the case of an applicable taxpayer for any taxable year, the deduction allowed under subsection (a) for the taxable y"&amp;"ear shall be equal to the greater of—
(A)the amount of such deduction determined without regard to this subsection, or
(B)$400.
(2)Applicable taxpayer
For purposes of this subsection—
(A)In general
The term “applicable taxpayer” means, with respect to any"&amp;" taxable year, a taxpayer whose aggregate qualified business income with respect to all active qualified trades or businesses of the taxpayer for such taxable year is at least $1,000.
(B)Active qualified trade or business
The term “active qualified trade"&amp;" or business” means, with respect to any taxpayer for any taxable year, any qualified trade or business of the taxpayer in which the taxpayer materially participates (within the meaning of section 469(h)).
(3)Inflation adjustment
In the case of any taxab"&amp;"le year beginning after 2026, the $400 amount in paragraph (1)(B) and the $1,000 amount in paragraph (2)(A) shall each be increased by an amount equal to—
(A)such dollar amount, multiplied by
(B)the cost-of-living adjustment determined under section 1(f)("&amp;"3) for the calendar year in which the taxable year begins, determined by substituting “calendar year 2025” for “calendar year 2016” in subparagraph (A)(ii) thereof.
If any increase under this paragraph is not a multiple of $5, such increase shall be round"&amp;"ed to the nearest multiple of $5
(Added Pub. L. 115–97, title I, § 11011(a), Dec. 22, 2017, 131 Stat. 2063; amended Pub. L. 115–141, div. T, § 101(a)(1), (2)(A), (C), (b), Mar. 23, 2018, 132 Stat. 1151, 1155; Pub. L. 119–21, title VII, §§ 70105(a), (b), 7"&amp;"0111(b), 70201(d), July 4, 2025, 139 Stat. 161, 165, 171.)")</f>
        <v>(a)Allowance of deduction
In the case of a taxpayer other than a corporation, except as provided in subsection (i), there shall be allowed as a deduction for any taxable year an amount equal to the lesser of—
(1)the combined qualified business income amount of the taxpayer, or
(2)an amount equal to 20 percent of the excess (if any) of—
(A)the taxable income of the taxpayer for the taxable year, over
(B)the net capital gain (as defined in section 1(h)) of the taxpayer for such taxable year.
(b)Combined qualified business income amount
For purposes of this section—
(1)In general
The term “combined qualified business income amount” means, with respect to any taxable year, an amount equal to—
(A)the sum of the amounts determined under paragraph (2) for each qualified trade or business carried on by the taxpayer, plus
(B)20 percent of the aggregate amount of the qualified REIT dividends and qualified publicly traded partnership income of the taxpayer for the taxable year.
(2)Determination of deductible amount for each trade or business
The amount determined under this paragraph with respect to any qualified trade or business is the lesser of—
(A)20 percent of the taxpayer’s qualified business income with respect to the qualified trade or business, or
(B)the greater of—
(i)50 percent of the W–2 wages with respect to the qualified trade or business, or
(ii)the sum of 25 percent of the W–2 wages with respect to the qualified trade or business, plus 2.5 percent of the unadjusted basis immediately after acquisition of all qualified property.
(3)Modifications to limit based on taxable income
(A)Exception from limit
In the case of any taxpayer whose taxable income for the taxable year does not exceed the threshold amount, paragraph (2) shall be applied without regard to subparagraph (B).
(B)Phase-in of limit for certain taxpayers
(i)In general
If—
(I)the taxable income of a taxpayer for any taxable year exceeds the threshold amount, but does not exceed the sum of the threshold amount plus $75,000 ($150,000 in the case of a joint return), and
(II)the amount determined under paragraph (2)(B) (determined without regard to this subparagraph) with respect to any qualified trade or business carried on by the taxpayer is less than the amount determined under paragraph (2)(A) with respect such trade or business,
 then paragraph (2) shall be applied with respect to such trade or business without regard to subparagraph (B) thereof and by reducing the amount determined under subparagraph (A) thereof by the amount determined under clause (ii).
(ii)Amount of reduction
The amount determined under this subparagraph is the amount which bears the same ratio to the excess amount as—
(I)the amount by which the taxpayer’s taxable income for the taxable year exceeds the threshold amount, bears to
(II)$75,000 ($150,000 in the case of a joint return).
(iii)Excess amount
For purposes of clause (ii), the excess amount is the excess of—
(I)the amount determined under paragraph (2)(A) (determined without regard to this paragraph), over
(II)the amount determined under paragraph (2)(B) (determined without regard to this paragraph).
(4)Wages, etc.
(A)In general
The term “W–2 wages” means, with respect to any person for any taxable year of such person, the amounts described in paragraphs (3) and (8) of section 6051(a) paid by such person with respect to employment of employees by such person during the calendar year ending during such taxable year.
(B)Limitation to wages attributable to qualified business income
Such term shall not include any amount which is not properly allocable to qualified business income for purposes of subsection (c)(1).
(C)Return requirement
Such term shall not include any amount which is not properly included in a return filed with the Social Security Administration on or before the 60th day after the due date (including extensions) for such return.
(5)Acquisitions, dispositions, and short taxable years
The Secretary shall provide for the application of this subsection in cases of a short taxable year or where the taxpayer acquires, or disposes of, the major portion of a trade or business or the major portion of a separate unit of a trade or business during the taxable year.
(6)Qualified property
For purposes of this section:
(A)In general
The term “qualified property” means, with respect to any qualified trade or business for a taxable year, tangible property of a character subject to the allowance for depreciation under section 167—
(i)which is held by, and available for use in, the qualified trade or business at the close of the taxable year,
(ii)which is used at any point during the taxable year in the production of qualified business income, and
(iii)the depreciable period for which has not ended before the close of the taxable year.
(B)Depreciable period
The term “depreciable period” means, with respect to qualified property of a taxpayer, the period beginning on the date the property was first placed in service by the taxpayer and ending on the later of—
(i)the date that is 10 years after such date, or
(ii)the last day of the last full year in the applicable recovery period that would apply to the property under section 168 (determined without regard to subsection (g) thereof).
(7)Special rule with respect to income received from cooperatives
In the case of any qualified trade or business of a patron of a specified agricultural or horticultural cooperative, the amount determined under paragraph (2) with respect to such trade or business shall be reduced by the lesser of—
(A)9 percent of so much of the qualified business income with respect to such trade or business as is properly allocable to qualified payments received from such cooperative, or
(B)50 percent of so much of the W–2 wages with respect to such trade or business as are so allocable.
(c)Qualified business income
For purposes of this section—
(1)In general
The term “qualified business income” means, for any taxable year, the net amount of qualified items of income, gain, deduction, and loss with respect to any qualified trade or business of the taxpayer. Such term shall not include any qualified REIT dividends or qualified publicly traded partnership income.
(2)Carryover of losses
If the net amount of qualified income, gain, deduction, and loss with respect to qualified trades or businesses of the taxpayer for any taxable year is less than zero, such amount shall be treated as a loss from a qualified trade or business in the succeeding taxable year.
(3)Qualified items of income, gain, deduction, and loss
For purposes of this subsection—
(A)In general
The term “qualified items of income, gain, deduction, and loss” means items of income, gain, deduction, and loss to the extent such items are—
(i)effectively connected with the conduct of a trade or business within the United States (within the meaning of section 864(c), determined by substituting “qualified trade or business (within the meaning of section 199A)” for “nonresident alien individual or a foreign corporation” or for “a [1] foreign corporation” each place it appears), and
(ii)included or allowed in determining taxable income for the taxable year.
(B)Exceptions
The following items shall not be taken into account as a qualified item of income, gain, deduction, or loss:
(i)Any item of short-term capital gain, short-term capital loss, long-term capital gain, or long-term capital loss.
(ii)Any dividend, income equivalent to a dividend, or payment in lieu of dividends described in section 954(c)(1)(G). Any amount described in section 1385(a)(1) shall not be treated as described in this clause.
(iii)Any interest income other than interest income which is properly allocable to a trade or business.
(iv)Any item of gain or loss described in subparagraph (C) or (D) of section 954(c)(1) (applied by substituting “qualified trade or business” for “controlled foreign corporation”).
(v)Any item of income, gain, deduction, or loss taken into account under section 954(c)(1)(F) (determined without regard to clause (ii) thereof and other than items attributable to notional principal contracts entered into in transactions qualifying under section 1221(a)(7)).
(vi)Any amount received from an annuity which is not received in connection with the trade or business.
(vii)Any item of deduction or loss properly allocable to an amount described in any of the preceding clauses.
(4)Treatment of reasonable compensation and guaranteed payments
Qualified business income shall not include—
(A)reasonable compensation paid to the taxpayer by any qualified trade or business of the taxpayer for services rendered with respect to the trade or business,
(B)any guaranteed payment described in section 707(c) paid to a partner for services rendered with respect to the trade or business,
(C)to the extent provided in regulations, any payment described in section 707(a) to a partner for services rendered with respect to the trade or business, and
(D)any amount with respect to which a deduction is allowable to the taxpayer under section 224(a) for the taxable year.
(d)Qualified trade or business
For purposes of this section—
(1)In general
The term “qualified trade or business” means any trade or business other than—
(A)a specified service trade or business, or
(B)the trade or business of performing services as an employee.
(2)Specified service trade or business
The term “specified service trade or business” means any trade or business—
(A)which is described in section 1202(e)(3)(A) (applied without regard to the words “engineering, architecture,”) or which would be so described if the term “employees or owners” were substituted for “employees” therein, or
(B)which involves the performance of services that consist of investing and investment management, trading, or dealing in securities (as defined in section 475(c)(2)), partnership interests, or commodities (as defined in section 475(e)(2)).
(3)Exception for specified service businesses based on taxpayer’s income
(A)In general
If, for any taxable year, the taxable income of any taxpayer is less than the sum of the threshold amount plus $75,000 ($150,000 in the case of a joint return), then—
(i)any specified service trade or business of the taxpayer shall not fail to be treated as a qualified trade or business due to paragraph (1)(A), but
(ii)only the applicable percentage of qualified items of income, gain, deduction, or loss, and the W–2 wages and the unadjusted basis immediately after acquisition of qualified property, of the taxpayer allocable to such specified service trade or business shall be taken into account in computing the qualified business income, W–2 wages, and the unadjusted basis immediately after acquisition of qualified property of the taxpayer for the taxable year for purposes of applying this section.
(B)Applicable percentage
For purposes of subparagraph (A), the term “applicable percentage” means, with respect to any taxable year, 100 percent reduced (not below zero) by the percentage equal to the ratio of—
(i)the taxable income of the taxpayer for the taxable year in excess of the threshold amount, bears to
(ii)$75,000 ($150,000 in the case of a joint return).
(e)Other definitions
For purposes of this section—
(1)Taxable income
Except as otherwise provided in subsection (g)(2)(B), taxable income shall be computed without regard to section 68 and without regard to any deduction allowable under this section.
(2)Threshold amount
(A)In general
The term “threshold amount” means $157,500 (200 percent of such amount in the case of a joint return).
(B)Inflation adjustment
In the case of any taxable year beginning after 2018, the dollar amount in subparagraph (A) shall be increased by an amount equal to—
(i)such dollar amount, multiplied by
(ii)the cost-of-living adjustment determined under section 1(f)(3) for the calendar year in which the taxable year begins, determined by substituting “calendar year 2017” for “calendar year 2016” in subparagraph (A)(ii) thereof.
The amount of any increase under the preceding sentence shall be rounded as provided in section 1(f)(7).
(3)Qualified REIT dividend
The term “qualified REIT dividend” means any dividend from a real estate investment trust received during the taxable year which—
(A)is not a capital gain dividend, as defined in section 857(b)(3), and
(B)is not qualified dividend income, as defined in section 1(h)(11).
(4)Qualified publicly traded partnership income
The term “qualified publicly traded partnership income” means, with respect to any qualified trade or business of a taxpayer, the sum of—
(A)the net amount of such taxpayer’s allocable share of each qualified item of income, gain, deduction, and loss (as defined in subsection (c)(3) and determined after the application of subsection (c)(4)) from a publicly traded partnership (as defined in section 7704(a)) [2] which is not treated as a corporation under section 7704(c), plus
(B)any gain recognized by such taxpayer upon disposition of its interest in such partnership to the extent such gain is treated as an amount realized from the sale or exchange of property other than a capital asset under section 751(a).
(f)Special rules
(1)Application to partnerships and S corporations
(A)In general
In the case of a partnership or S corporation—
(i)this section shall be applied at the partner or shareholder level,
(ii)each partner or shareholder shall take into account such person’s allocable share of each qualified item of income, gain, deduction, and loss, and
(iii)each partner or shareholder shall be treated for purposes of subsection (b) as having W–2 wages and unadjusted basis immediately after acquisition of qualified property for the taxable year in an amount equal to such person’s allocable share of the W–2 wages and the unadjusted basis immediately after acquisition of qualified property of the partnership or S corporation for the taxable year (as determined under regulations prescribed by the Secretary).
For purposes of clause (iii), a partner’s or shareholder’s allocable share of W–2 wages shall be determined in the same manner as the partner’s or shareholder’s allocable share of wage expenses. For purposes of such clause, partner’s or shareholder’s allocable share of the unadjusted basis immediately after acquisition of qualified property shall be determined in the same manner as the partner’s or shareholder’s allocable share of depreciation. For purposes of this subparagraph, in the case of an S corporation, an allocable share shall be the shareholder’s pro rata share of an item.
(B)Application to trusts and estates
Rules similar to the rules under section 199(d)(1)(B)(i) (as in effect on December 1, 2017) for the apportionment of W–2 wages shall apply to the apportionment of W–2 wages and the apportionment of unadjusted basis immediately after acquisition of qualified property under this section.
(C)Treatment of trades or business in Puerto Rico
(i)In general
In the case of any taxpayer with qualified business income from sources within the commonwealth of Puerto Rico, if all such income is taxable under section 1 for such taxable year, then for purposes of determining the qualified business income of such taxpayer for such taxable year, the term “United States” shall include the Commonwealth of Puerto Rico.
(ii)Special rule for applying limit
In the case of any taxpayer described in clause (i), the determination of W–2 wages of such taxpayer with respect to any qualified trade or business conducted in Puerto Rico shall be made without regard to any exclusion under section 3401(a)(8) for remuneration paid for services in Puerto Rico.
(2)Coordination with minimum tax
For purposes of determining alternative minimum taxable income under section 55, qualified business income shall be determined without regard to any adjustments under sections 56 through 59.
(3)Deduction limited to income taxes
The deduction under subsection (a) shall only be allowed for purposes of this chapter.
(4)Regulations
The Secretary shall prescribe such regulations as are necessary to carry out the purposes of this section, including regulations—
(A)for requiring or restricting the allocation of items and wages under this section and such reporting requirements as the Secretary determines appropriate, and
(B)for the application of this section in the case of tiered entities.
(g)Deduction for income attributable to domestic production activities of specified agricultural or horticultural cooperatives
(1)Allowance of deduction
(A)In general
In the case of a taxpayer which is a specified agricultural or horticultural cooperative, there shall be allowed as a deduction an amount equal to 9 percent of the lesser of—
(i)the qualified production activities income of the taxpayer for the taxable year, or
(ii)the taxable income of the taxpayer for the taxable year.
(B)Limitation
(i)In general
The deduction allowable under subparagraph (A) for any taxable year shall not exceed 50 percent of the W–2 wages of the taxpayer for the taxable year.
(ii)W–2 wages
For purposes of this subparagraph, the W–2 wages of the taxpayer shall be determined in the same manner as under subsection (b)(4) (without regard to subparagraph (B) thereof and after application of subsection (b)(5)), except that such wages shall not include any amount which is not properly allocable to domestic production gross receipts for purposes of paragraph (3)(A).
(C)Taxable income of cooperatives determined without regard to certain deductions
For purposes of this subsection, the taxable income of a specified agricultural or horticultural cooperative shall be computed without regard to any deduction allowable under subsection (b) or (c) of section 1382 (relating to patronage dividends, per-unit retain allocations, and nonpatronage distributions).
(2)Deduction allowed to patrons
(A)In general
In the case of any eligible taxpayer who receives a qualified payment from a specified agricultural or horticultural cooperative, there shall be allowed as a deduction for the taxable year in which such payment is received an amount equal to the portion of the deduction allowed under paragraph (1) to such cooperative which is—
(i)allowed with respect to the portion of the qualified production activities income to which such payment is attributable, and
(ii)identified by such cooperative in a written notice mailed to such taxpayer during the payment period described in section 1382(d).
(B)Limitation based on taxable income
The deduction allowed to any taxpayer under this paragraph shall not exceed the taxable income of the taxpayer determined without regard to section 68 or the deduction allowed under this paragraph and after taking into account any deduction allowed to the taxpayer under subsection (a) for the taxable year.
(C)Cooperative denied deduction for portion of qualified payments
The taxable income of a specified agricultural or horticultural cooperative shall not be reduced under section 1382 by reason of that portion of any qualified payment as does not exceed the deduction allowable under subparagraph (A) with respect to such payment.
(D)Eligible taxpayer
For purposes of this paragraph, the term “eligible taxpayer” means—
(i)a taxpayer other than a corporation, or
(ii)a specified agricultural or horticultural cooperative.
(E)Qualified payment
For purposes of this section, the term “qualified payment” means, with respect to any eligible taxpayer, any amount which—
(i)is described in paragraph (1) or (3) of section 1385(a),
(ii)is received by such taxpayer from a specified agricultural or horticultural cooperative, and
(iii)is attributable to qualified production activities income with respect to which a deduction is allowed to such cooperative under paragraph (1).
(3)Qualified production activities income
For purposes of this subsection—
(A)In general
The term “qualified production activities income” for any taxable year means an amount equal to the excess (if any) of—
(i)the taxpayer’s domestic production gross receipts for such taxable year, over
(ii)the sum of—
(I)the cost of goods sold that are allocable to such receipts, and
(II)other expenses, losses, or deductions (other than the deduction allowed under this subsection), which are properly allocable to such receipts.
(B)Allocation method
The Secretary shall prescribe rules for the proper allocation of items described in subparagraph (A) for purposes of determining qualified production activities income. Such rules shall provide for the proper allocation of items whether or not such items are directly allocable to domestic production gross receipts.
(C)Special rules for determining costs
(i)In general
For purposes of determining costs under subclause (I) of subparagraph (A)(ii), any item or service brought into the United States shall be treated as acquired by purchase, and its cost shall be treated as not less than its value immediately after it entered the United States. A similar rule shall apply in determining the adjusted basis of leased or rented property where the lease or rental gives rise to domestic production gross receipts.
(ii)Exports for further manufacture
In the case of any property described in clause (i) that had been exported by the taxpayer for further manufacture, the increase in cost or adjusted basis under clause (i) shall not exceed the difference between the value of the property when exported and the value of the property when brought back into the United States after the further manufacture.
(D)Domestic production gross receipts
(i)In general
The term “domestic production gross receipts” means the gross receipts of the taxpayer which are derived from any lease, rental, license, sale, exchange, or other disposition of any agricultural or horticultural product which was manufactured, produced, grown, or extracted by the taxpayer (determined after the application of paragraph (4)(B)) in whole or significant part within the United States. Such term shall not include gross receipts of the taxpayer which are derived from the lease, rental, license, sale, exchange, or other disposition of land.
(ii)Related persons
(I)In general
The term “domestic production gross receipts” shall not include any gross receipts of the taxpayer derived from property leased, licensed, or rented by the taxpayer for use by any related person.
(II)Related person
For purposes of subclause (I), a person shall be treated as related to another person if such persons are treated as a single employer under subsection (a) or (b) of section 52 or subsection (m) or (o) of section 414, except that determinations under subsections (a) and (b) of section 52 shall be made without regard to section 1563(b).
(4)Specified agricultural or horticultural cooperative
For purposes of this section—
(A)In general
The term “specified agricultural or horticultural cooperative” means an organization to which part I of subchapter T applies which is engaged—
(i)in the manufacturing, production, growth, or extraction in whole or significant part of any agricultural or horticultural product, or
(ii)in the marketing of agricultural or horticultural products.
(B)Application to marketing cooperatives
A specified agricultural or horticultural cooperative described in subparagraph (A)(ii) shall be treated as having manufactured, produced, grown, or extracted in whole or significant part any agricultural or horticultural product marketed by the specified agricultural or horticultural cooperative which its patrons have so manufactured, produced, grown, or extracted.
(5)Definitions and special rules
(A)Special rule for affiliated groups
(i)In general
All members of an expanded affiliated group shall be treated as a single corporation for purposes of this subsection.
(ii)Partnerships owned by expanded affiliated groups
For purposes of paragraph (3)(D), if all of the interests in the capital and profits of a partnership are owned by members of a single expanded affiliated group at all times during the taxable year of such partnership, the partnership and all members of such group shall be treated as a single taxpayer during such period.
(iii)Expanded affiliated group
For purposes of this subsection, the term “expanded affiliated group” means an affiliated group as defined in section 1504(a), determined—
(I)by substituting “more than 50 percent” for “at least 80 percent” each place it appears, and
(II)without regard to paragraphs (2) and (4) of section 1504(b).
(iv)Allocation of deduction
Except as provided in regulations, the deduction under paragraph (1) shall be allocated among the members of the expanded affiliated group in proportion to each member’s respective amount (if any) of qualified production activities income.
(B)Special rule for cooperative partners
In the case of a specified agricultural or horticultural cooperative which is a partner in a partnership, rules similar to the rules of subsection (f)(1) shall apply for purposes of this subsection.
(C)Trade or business requirement
This subsection shall be applied by only taking into account items which are attributable to the actual conduct of a trade or business.
(D)Unrelated business taxable income
For purposes of determining the tax imposed by section 511, this section shall be applied by substituting “unrelated business taxable income” for “taxable income” each place it appears in this section (other than this subparagraph).
(E)Special rule for cooperative with oil related qualified production activities income
(i)In general
If a specified agricultural or horticultural cooperative has oil related qualified production activities income for any taxable year, the amount otherwise allowable as a deduction under paragraph (1) shall be reduced by 3 percent of the least of—
(I)the oil related qualified production activities income of the cooperative for the taxable year,
(II)the qualified production activities income of the cooperative for the taxable year, or
(III)taxable income.
(ii)Oil related qualified production activities income
For purposes of this subparagraph, the term “oil related qualified production activities income” means for any taxable year the qualified production activities income which is attributable to the production, refining, processing, transportation, or distribution of oil, gas, or any primary product thereof (within the meaning of section 927(a)(2)(C), as in effect before its repeal) during such taxable year.
(6)Regulations
The Secretary shall prescribe such regulations as are necessary to carry out the purposes of this subsection, including regulations which prevent more than 1 taxpayer from being allowed a deduction under this subsection with respect to any activity described in paragraph (3)(D)(i). Such regulations shall be based on the regulations applicable to cooperatives and their patrons under section 199 (as in effect before its repeal).
(h)Anti-abuse rules
The Secretary shall—
(1)apply rules similar to the rules under section 179(d)(2) in order to prevent the manipulation of the depreciable period of qualified property using transactions between related parties, and
(2)prescribe rules for determining the unadjusted basis immediately after acquisition of qualified property acquired in like-kind exchanges or involuntary conversions.
(i)Minimum deduction for active qualified business income
(1)In general
In the case of an applicable taxpayer for any taxable year, the deduction allowed under subsection (a) for the taxable year shall be equal to the greater of—
(A)the amount of such deduction determined without regard to this subsection, or
(B)$400.
(2)Applicable taxpayer
For purposes of this subsection—
(A)In general
The term “applicable taxpayer” means, with respect to any taxable year, a taxpayer whose aggregate qualified business income with respect to all active qualified trades or businesses of the taxpayer for such taxable year is at least $1,000.
(B)Active qualified trade or business
The term “active qualified trade or business” means, with respect to any taxpayer for any taxable year, any qualified trade or business of the taxpayer in which the taxpayer materially participates (within the meaning of section 469(h)).
(3)Inflation adjustment
In the case of any taxable year beginning after 2026, the $400 amount in paragraph (1)(B) and the $1,000 amount in paragraph (2)(A) shall each be increased by an amount equal to—
(A)such dollar amount, multiplied by
(B)the cost-of-living adjustment determined under section 1(f)(3) for the calendar year in which the taxable year begins, determined by substituting “calendar year 2025” for “calendar year 2016” in subparagraph (A)(ii) thereof.
If any increase under this paragraph is not a multiple of $5, such increase shall be rounded to the nearest multiple of $5
(Added Pub. L. 115–97, title I, § 11011(a), Dec. 22, 2017, 131 Stat. 2063; amended Pub. L. 115–141, div. T, § 101(a)(1), (2)(A), (C), (b), Mar. 23, 2018, 132 Stat. 1151, 1155; Pub. L. 119–21, title VII, §§ 70105(a), (b), 70111(b), 70201(d), July 4, 2025, 139 Stat. 161, 165, 171.)</v>
      </c>
      <c r="M7" s="4" t="str">
        <f>IFERROR(__xludf.DUMMYFUNCTION("""COMPUTED_VALUE"""),"Eligible pass-through business owners can deduct up to 20% of their qualified business income from their taxable income.")</f>
        <v>Eligible pass-through business owners can deduct up to 20% of their qualified business income from their taxable income.</v>
      </c>
      <c r="N7" s="4" t="str">
        <f>IFERROR(__xludf.DUMMYFUNCTION("""COMPUTED_VALUE"""),"Industries: [Agriculture, Manufacturing, Real Estate, Professional Services, Retail] | Entities: [S Corporations, Partnerships, Sole Proprietorships]")</f>
        <v>Industries: [Agriculture, Manufacturing, Real Estate, Professional Services, Retail] | Entities: [S Corporations, Partnerships, Sole Proprietorships]</v>
      </c>
      <c r="O7" s="4" t="str">
        <f>IFERROR(__xludf.DUMMYFUNCTION("""COMPUTED_VALUE"""),"Net Income, W-2 Wages, Qualified Property (UBIA), Fixed Asset Accounts, Partner/Shareholder Distributions, Chart of Accounts (Entity Type), Cost of Goods Sold, Business Expenses")</f>
        <v>Net Income, W-2 Wages, Qualified Property (UBIA), Fixed Asset Accounts, Partner/Shareholder Distributions, Chart of Accounts (Entity Type), Cost of Goods Sold, Business Expenses</v>
      </c>
      <c r="P7" s="4" t="str">
        <f>IFERROR(__xludf.DUMMYFUNCTION("""COMPUTED_VALUE"""),"🚨 Important: Qualified Business Income Deduction Update for [Entity]
How this affects you::
Great news\! Based on your [QBI_Amount] in qualified business income, your entity may be eligible for a deduction of up to 20%, estimated at [Deduction_Estimate]"&amp;". This deduction can significantly reduce your taxable income. Please note that if your business is a Specified Service Trade or Business (SSTB), the deduction may be limited or phased out based on your total taxable income and the \[W2_Wages] paid by the"&amp;" business.
✅ Verify if your total taxable income is below the threshold for the full 20% deduction
✅ Review your \[W2_Wages] and unadjusted basis immediately after acquisition (UBIA) of qualified property to determine if wage and property limitations app"&amp;"ly
✅ Consult with a CPA to confirm your business classification and maximize your eligible deduction
📚 Source: IRC Section 199A
⚠️ Disclaimer: This template is for informational purposes only. Tax laws are subject to change and individual circumstances"&amp;" vary. Please consult with a qualified tax professional to confirm eligibility and compliance for your specific entity.")</f>
        <v>🚨 Important: Qualified Business Income Deduction Update for [Entity]
How this affects you::
Great news\! Based on your [QBI_Amount] in qualified business income, your entity may be eligible for a deduction of up to 20%, estimated at [Deduction_Estimate]. This deduction can significantly reduce your taxable income. Please note that if your business is a Specified Service Trade or Business (SSTB), the deduction may be limited or phased out based on your total taxable income and the \[W2_Wages] paid by the business.
✅ Verify if your total taxable income is below the threshold for the full 20% deduction
✅ Review your \[W2_Wages] and unadjusted basis immediately after acquisition (UBIA) of qualified property to determine if wage and property limitations apply
✅ Consult with a CPA to confirm your business classification and maximize your eligible deduction
📚 Source: IRC Section 199A
⚠️ Disclaimer: This template is for informational purposes only. Tax laws are subject to change and individual circumstances vary. Please consult with a qualified tax professional to confirm eligibility and compliance for your specific entity.</v>
      </c>
      <c r="Q7" s="4" t="str">
        <f>IFERROR(__xludf.DUMMYFUNCTION("""COMPUTED_VALUE"""),"IRC Section 199A provides a deduction of up to 20% of qualified business income for pass-through entities, which effectively lowers your business's tax rate and increases retained owner equity.")</f>
        <v>IRC Section 199A provides a deduction of up to 20% of qualified business income for pass-through entities, which effectively lowers your business's tax rate and increases retained owner equity.</v>
      </c>
      <c r="R7" s="18" t="str">
        <f>IFERROR(__xludf.DUMMYFUNCTION("""COMPUTED_VALUE"""),"https://www.law.cornell.edu/uscode/text/26/199A")</f>
        <v>https://www.law.cornell.edu/uscode/text/26/199A</v>
      </c>
      <c r="S7" s="19">
        <f>IFERROR(__xludf.DUMMYFUNCTION("""COMPUTED_VALUE"""),46023.0)</f>
        <v>46023</v>
      </c>
      <c r="T7" s="4" t="str">
        <f>IFERROR(__xludf.DUMMYFUNCTION("""COMPUTED_VALUE"""),"ACTIVE")</f>
        <v>ACTIVE</v>
      </c>
      <c r="U7" s="4"/>
      <c r="V7" s="4"/>
      <c r="W7" s="4"/>
      <c r="X7" s="4"/>
      <c r="Y7" s="4"/>
      <c r="Z7" s="4"/>
    </row>
    <row r="8">
      <c r="A8" s="13" t="s">
        <v>23</v>
      </c>
      <c r="B8" s="13" t="s">
        <v>24</v>
      </c>
      <c r="C8" s="4" t="s">
        <v>151</v>
      </c>
      <c r="D8" s="4" t="s">
        <v>152</v>
      </c>
      <c r="E8" s="4" t="s">
        <v>153</v>
      </c>
      <c r="F8" s="1" t="s">
        <v>154</v>
      </c>
      <c r="G8" s="4" t="s">
        <v>155</v>
      </c>
      <c r="H8" s="16" t="s">
        <v>156</v>
      </c>
      <c r="I8" s="17">
        <v>46023.0</v>
      </c>
      <c r="J8" s="1" t="s">
        <v>128</v>
      </c>
      <c r="K8" s="4" t="str">
        <f>IFERROR(__xludf.DUMMYFUNCTION("""COMPUTED_VALUE"""),"§174")</f>
        <v>§174</v>
      </c>
      <c r="L8" s="4" t="str">
        <f>IFERROR(__xludf.DUMMYFUNCTION("""COMPUTED_VALUE"""),"(a)In general
In the case of a taxpayer’s foreign research or experimental expenditures for any taxable year—
(1)except as provided in paragraph (2), no deduction shall be allowed for such expenditures, and
(2)the taxpayer shall—
(A)charge such expenditur"&amp;"es to capital account, and
(B)be allowed an amortization deduction of such expenditures ratably over the 15-year period beginning with the midpoint of the taxable year in which such expenditures are paid or incurred.
(b)Foreign research or experimental ex"&amp;"penditures
For purposes of this section, the term “foreign research or experimental expenditures” means, with respect to any taxable year, research or experimental expenditures which are paid or incurred by the taxpayer during such taxable year in connect"&amp;"ion with the taxpayer’s trade or business and which are attributable to foreign research (within the meaning of section 41(d)(4)(F)).
(c)Special rules
(1)Land and other property
This section shall not apply to any expenditure for the acquisition or impro"&amp;"vement of land, or for the acquisition or improvement of property to be used in connection with the research or experimentation and of a character which is subject to the allowance under section 167 (relating to allowance for depreciation, etc.) or sectio"&amp;"n 611 (relating to allowance for depletion); but for purposes of this section allowances under section 167, and allowances under section 611, shall be considered as expenditures.
(2)Exploration expenditures
This section shall not apply to any expenditure"&amp;" paid or incurred for the purpose of ascertaining the existence, location, extent, or quality of any deposit of ore or other mineral (including oil and gas).
(3)Software development
For purposes of this section, any amount paid or incurred in connection "&amp;"with the development of any software shall be treated as a research or experimental expenditure.
(d)Treatment upon disposition, retirement, or abandonment
If any property with respect to which foreign research or experimental expenditures are paid or inc"&amp;"urred is disposed, retired, or abandoned during the period during which such expenditures are allowed as an amortization deduction under this section, no deduction or reduction to amount realized shall be allowed with respect to such expenditures on accou"&amp;"nt of such disposition, retirement, or abandonment and such amortization deduction shall continue with respect to such expenditures.
(Aug. 16, 1954, ch. 736, 68A Stat. 66; Pub. L. 94–455, title XIX, §§ 1901(a)(30), 1906(b)(13)(A), Oct. 4, 1976, 90 Stat. "&amp;"1769, 1834; Pub. L. 97–248, title II, § 201(d)(9)(B) formerly § 201(c)(9)(B), Sept. 3, 1982, 96 Stat. 420, renumbered § 201(d)(9)(B), Pub. L. 97–448, title III, § 306(a)(1)(A)(i), Jan. 12, 1983, 96 Stat. 2400; amended Pub. L. 99–514, title VII, § 701(e)(4"&amp;")(D), Oct. 22, 1986, 100 Stat. 2343; Pub. L. 100–647, title I, § 1007(g)(5), Nov. 10, 1988, 102 Stat. 3435; Pub. L. 101–239, title VII, § 7110(d), Dec. 19, 1989, 103 Stat. 2325; Pub. L. 113–295, div. A, title II, § 221(a)(31), (32), Dec. 19, 2014, 128 Sta"&amp;"t. 4042; Pub. L. 115–97, title I, § 13206(a), Dec. 22, 2017, 131 Stat. 2111; Pub. L. 119–21, title VII, § 70302(b)(1), July 4, 2025, 139 Stat. 191.)")</f>
        <v>(a)In general
In the case of a taxpayer’s foreign research or experimental expenditures for any taxable year—
(1)except as provided in paragraph (2), no deduction shall be allowed for such expenditures, and
(2)the taxpayer shall—
(A)charge such expenditures to capital account, and
(B)be allowed an amortization deduction of such expenditures ratably over the 15-year period beginning with the midpoint of the taxable year in which such expenditures are paid or incurred.
(b)Foreign research or experimental expenditures
For purposes of this section, the term “foreign research or experimental expenditures” means, with respect to any taxable year, research or experimental expenditures which are paid or incurred by the taxpayer during such taxable year in connection with the taxpayer’s trade or business and which are attributable to foreign research (within the meaning of section 41(d)(4)(F)).
(c)Special rules
(1)Land and other property
This section shall not apply to any expenditure for the acquisition or improvement of land, or for the acquisition or improvement of property to be used in connection with the research or experimentation and of a character which is subject to the allowance under section 167 (relating to allowance for depreciation, etc.) or section 611 (relating to allowance for depletion); but for purposes of this section allowances under section 167, and allowances under section 611, shall be considered as expenditures.
(2)Exploration expenditures
This section shall not apply to any expenditure paid or incurred for the purpose of ascertaining the existence, location, extent, or quality of any deposit of ore or other mineral (including oil and gas).
(3)Software development
For purposes of this section, any amount paid or incurred in connection with the development of any software shall be treated as a research or experimental expenditure.
(d)Treatment upon disposition, retirement, or abandonment
If any property with respect to which foreign research or experimental expenditures are paid or incurred is disposed, retired, or abandoned during the period during which such expenditures are allowed as an amortization deduction under this section, no deduction or reduction to amount realized shall be allowed with respect to such expenditures on account of such disposition, retirement, or abandonment and such amortization deduction shall continue with respect to such expenditures.
(Aug. 16, 1954, ch. 736, 68A Stat. 66; Pub. L. 94–455, title XIX, §§ 1901(a)(30), 1906(b)(13)(A), Oct. 4, 1976, 90 Stat. 1769, 1834; Pub. L. 97–248, title II, § 201(d)(9)(B) formerly § 201(c)(9)(B), Sept. 3, 1982, 96 Stat. 420, renumbered § 201(d)(9)(B), Pub. L. 97–448, title III, § 306(a)(1)(A)(i), Jan. 12, 1983, 96 Stat. 2400; amended Pub. L. 99–514, title VII, § 701(e)(4)(D), Oct. 22, 1986, 100 Stat. 2343; Pub. L. 100–647, title I, § 1007(g)(5), Nov. 10, 1988, 102 Stat. 3435; Pub. L. 101–239, title VII, § 7110(d), Dec. 19, 1989, 103 Stat. 2325; Pub. L. 113–295, div. A, title II, § 221(a)(31), (32), Dec. 19, 2014, 128 Stat. 4042; Pub. L. 115–97, title I, § 13206(a), Dec. 22, 2017, 131 Stat. 2111; Pub. L. 119–21, title VII, § 70302(b)(1), July 4, 2025, 139 Stat. 191.)</v>
      </c>
      <c r="M8" s="4" t="str">
        <f>IFERROR(__xludf.DUMMYFUNCTION("""COMPUTED_VALUE"""),"Foreign research and experimental expenditures must be capitalized and amortized over a 15-year period.")</f>
        <v>Foreign research and experimental expenditures must be capitalized and amortized over a 15-year period.</v>
      </c>
      <c r="N8" s="4" t="str">
        <f>IFERROR(__xludf.DUMMYFUNCTION("""COMPUTED_VALUE"""),"Industries: [Biotechnology, Software Development, Pharmaceuticals, Technology, Manufacturing] | Entities: [Corporations, Partnerships, Limited Liability Companies]")</f>
        <v>Industries: [Biotechnology, Software Development, Pharmaceuticals, Technology, Manufacturing] | Entities: [Corporations, Partnerships, Limited Liability Companies]</v>
      </c>
      <c r="O8" s="4" t="str">
        <f>IFERROR(__xludf.DUMMYFUNCTION("""COMPUTED_VALUE"""),"Payroll Expenses, Contractor/Consultant Fees, Supplies Expense, Software Development Costs, R&amp;D Asset Account, Accumulated Amortization, Amortization Expense, Chart of Accounts, General Ledger Report, Project/Job Profitability Reports")</f>
        <v>Payroll Expenses, Contractor/Consultant Fees, Supplies Expense, Software Development Costs, R&amp;D Asset Account, Accumulated Amortization, Amortization Expense, Chart of Accounts, General Ledger Report, Project/Job Profitability Reports</v>
      </c>
      <c r="P8" s="4" t="str">
        <f>IFERROR(__xludf.DUMMYFUNCTION("""COMPUTED_VALUE"""),"🚨 Important: Foreign R&amp;D Capitalization Update for [Entity]
How this affects you::
IRC Section 174 requires that all foreign research and experimental expenditures, including software development costs, must be capitalized rather than deducted immediate"&amp;"ly. These expenses must now be amortized ratably over a 15-year period, beginning with the midpoint of the taxable year in which they were incurred.
✅ Identify all foreign-based research, software development, and experimental expenditures
✅ Ensure these"&amp;" costs are moved to a capital account for proper amortization tracking
✅ Update your tax projections to account for the longer 15-year recovery period for foreign R\&amp;D
📚 Source: IRC Section 174
⚠️ Disclaimer: This template is for informational purposes"&amp;" only. Tax laws are subject to change and individual circumstances vary. Please consult with a qualified tax professional to confirm eligibility and compliance for your specific entity.")</f>
        <v>🚨 Important: Foreign R&amp;D Capitalization Update for [Entity]
How this affects you::
IRC Section 174 requires that all foreign research and experimental expenditures, including software development costs, must be capitalized rather than deducted immediately. These expenses must now be amortized ratably over a 15-year period, beginning with the midpoint of the taxable year in which they were incurred.
✅ Identify all foreign-based research, software development, and experimental expenditures
✅ Ensure these costs are moved to a capital account for proper amortization tracking
✅ Update your tax projections to account for the longer 15-year recovery period for foreign R\&amp;D
📚 Source: IRC Section 174
⚠️ Disclaimer: This template is for informational purposes only. Tax laws are subject to change and individual circumstances vary. Please consult with a qualified tax professional to confirm eligibility and compliance for your specific entity.</v>
      </c>
      <c r="Q8" s="4" t="str">
        <f>IFERROR(__xludf.DUMMYFUNCTION("""COMPUTED_VALUE"""),"IRC Section 174 requires foreign research and software development costs to be capitalized and amortized over 15 years, which reduces immediate tax deductions and negatively impacts short-term cash flow compared to full expensing.")</f>
        <v>IRC Section 174 requires foreign research and software development costs to be capitalized and amortized over 15 years, which reduces immediate tax deductions and negatively impacts short-term cash flow compared to full expensing.</v>
      </c>
      <c r="R8" s="18" t="str">
        <f>IFERROR(__xludf.DUMMYFUNCTION("""COMPUTED_VALUE"""),"https://www.law.cornell.edu/uscode/text/26/174")</f>
        <v>https://www.law.cornell.edu/uscode/text/26/174</v>
      </c>
      <c r="S8" s="19">
        <f>IFERROR(__xludf.DUMMYFUNCTION("""COMPUTED_VALUE"""),46023.0)</f>
        <v>46023</v>
      </c>
      <c r="T8" s="4" t="str">
        <f>IFERROR(__xludf.DUMMYFUNCTION("""COMPUTED_VALUE"""),"ACTIVE")</f>
        <v>ACTIVE</v>
      </c>
      <c r="U8" s="4"/>
      <c r="V8" s="4"/>
      <c r="W8" s="4"/>
      <c r="X8" s="4"/>
      <c r="Y8" s="4"/>
      <c r="Z8" s="4"/>
    </row>
    <row r="9">
      <c r="A9" s="13" t="s">
        <v>26</v>
      </c>
      <c r="B9" s="13" t="s">
        <v>27</v>
      </c>
      <c r="C9" s="4" t="s">
        <v>157</v>
      </c>
      <c r="D9" s="4" t="s">
        <v>158</v>
      </c>
      <c r="E9" s="4" t="s">
        <v>159</v>
      </c>
      <c r="F9" s="1" t="s">
        <v>160</v>
      </c>
      <c r="G9" s="4" t="s">
        <v>161</v>
      </c>
      <c r="H9" s="16" t="s">
        <v>162</v>
      </c>
      <c r="I9" s="17">
        <v>46023.0</v>
      </c>
      <c r="J9" s="1" t="s">
        <v>128</v>
      </c>
      <c r="K9" s="4" t="str">
        <f>IFERROR(__xludf.DUMMYFUNCTION("""COMPUTED_VALUE"""),"§263A")</f>
        <v>§263A</v>
      </c>
      <c r="L9" s="4" t="str">
        <f>IFERROR(__xludf.DUMMYFUNCTION("""COMPUTED_VALUE"""),"(a)Nondeductibility of certain direct and indirect costs
(1)In general
In the case of any property to which this section applies, any costs described in paragraph (2)—
(A)in the case of property which is inventory in the hands of the taxpayer, shall be in"&amp;"cluded in inventory costs, and
(B)in the case of any other property, shall be capitalized.
(2)Allocable costs
The costs described in this paragraph with respect to any property are—
(A)the direct costs of such property, and
(B)such property’s proper share"&amp;" of those indirect costs (including taxes) part or all of which are allocable to such property.
Any cost which (but for this subsection) could not be taken into account in computing taxable income for any taxable year shall not be treated as a cost descri"&amp;"bed in this paragraph.
(b)Property to which section applies
Except as otherwise provided in this section, this section shall apply to—
(1)Property produced by taxpayer
Real or tangible personal property produced by the taxpayer.
(2)Property acquired for "&amp;"resale
Real or personal property described in section 1221(a)(1) which is acquired by the taxpayer for resale.
For purposes of paragraph (1), the term “tangible personal property” shall include a film, sound recording, video tape, book, or similar proper"&amp;"ty.
(c)General exceptions
(1)Personal use property
This section shall not apply to any property produced by the taxpayer for use by the taxpayer other than in a trade or business or an activity conducted for profit.
(2)Research and experimental expenditu"&amp;"res
This section shall not apply to any amount allowable as a deduction under section 174 or 174A.
(3)Certain development and other costs of oil and gas wells or other mineral property
This section shall not apply to any cost allowable as a deduction und"&amp;"er section 167(h), 179B, 263(c), 263(i), 291(b)(2), 616, or 617.
(4)Coordination with long-term contract rules
This section shall not apply to any property produced by the taxpayer pursuant to a long-term contract.
(5)Timber and certain ornamental trees"&amp;"
This section shall not apply to—
(A)trees raised, harvested, or grown by the taxpayer other than trees described in clause (ii) of subsection (e)(4)(B) (after application of the last sentence thereof), and
(B)any real property underlying such trees.
(6)C"&amp;"oordination with section 59(e)
Paragraphs (2) and (3) shall apply to any amount allowable as a deduction under section 59(e) for qualified expenditures described in subparagraphs (B), (C), (D), and (E) of paragraph (2) thereof.
(7)Coordination with secti"&amp;"on 168(k)(5)
This section shall not apply to any amount allowed as a deduction by reason of section 168(k)(5) (relating to special rules for certain plants bearing fruits and nuts).
(d)Exception for farming businesses
(1)Section not to apply to certain p"&amp;"roperty
(A)In general
This section shall not apply to any of the following which is produced by the taxpayer in a farming business:
(i)Any animal.
(ii)Any plant which has a preproductive period of 2 years or less.
(B)Exception for taxpayers required to us"&amp;"e accrual method
Subparagraph (A) shall not apply to any corporation, partnership, or tax shelter required to use an accrual method of accounting under section 447 or 448(a)(3).
(2)Treatment of certain plants lost by reason of casualty
(A)In general
If p"&amp;"lants bearing an edible crop for human consumption were lost or damaged (while in the hands of the taxpayer) by reason of freezing temperatures, disease, drought, pests, or casualty, this section shall not apply to any costs of the taxpayer of replanting "&amp;"plants bearing the same type of crop (whether on the same parcel of land on which such lost or damaged plants were located or any other parcel of land of the same acreage in the United States).
(B)Special rule for person with minority interest who materi"&amp;"ally participates
Subparagraph (A) shall apply to amounts paid or incurred by a person (other than the taxpayer described in subparagraph (A)) if—
(i)the taxpayer described in subparagraph (A) has an equity interest of more than 50 percent in the plants d"&amp;"escribed in subparagraph (A) at all times during the taxable year in which such amounts were paid or incurred, and
(ii)such other person holds any part of the remaining equity interest and materially participates in the planting, maintenance, cultivation,"&amp;" or development of the plants described in subparagraph (A) during the taxable year in which such amounts were paid or incurred.
The determination of whether an individual materially participates in any activity shall be made in a manner similar to the ma"&amp;"nner in which such determination is made under section 2032A(e)(6).
(C)Special temporary rule for citrus plants lost by reason of casualty
(i)In general
In the case of the replanting of citrus plants, subparagraph (A) shall apply to amounts paid or incurr"&amp;"ed by a person (other than the taxpayer described in subparagraph (A)) if—
(I)the taxpayer described in subparagraph (A) has an equity interest of not less than 50 percent in the replanted citrus plants at all times during the taxable year in which such a"&amp;"mounts were paid or incurred and such other person holds any part of the remaining equity interest, or
(II)such other person acquired the entirety of such taxpayer’s equity interest in the land on which the lost or damaged citrus plants were located at th"&amp;"e time of such loss or damage, and the replanting is on such land.
(ii)Termination
Clause (i) shall not apply to any cost paid or incurred after the date which is 10 years after the date of the enactment of the Tax Cuts and Jobs Act.
(3)Election to have "&amp;"this section not apply
(A)In general
If a taxpayer makes an election under this paragraph, this section shall not apply to any plant produced in any farming business carried on by such taxpayer.
(B)Certain persons not eligible
No election may be made und"&amp;"er this paragraph by a corporation, partnership, or tax shelter, if such corporation, partnership, or tax shelter is required to use an accrual method of accounting under section 447 or 448(a)(3).
(C)Special rule for citrus and almond growers
An election"&amp;" under this paragraph shall not apply with respect to any item which is attributable to the planting, cultivation, maintenance, or development of any citrus or almond grove (or part thereof) and which is incurred before the close of the 4th taxable year b"&amp;"eginning with the taxable year in which the trees were planted. For purposes of the preceding sentence, the portion of a citrus or almond grove planted in 1 taxable year shall be treated separately from the portion of such grove planted in another taxable"&amp;" year.
(D)Election
Unless the Secretary otherwise consents, an election under this paragraph may be made only for the taxpayer’s 1st taxable year which begins after December 31, 1986, and during which the taxpayer engages in a farming business. Any such "&amp;"election, once made, may be revoked only with the consent of the Secretary.
(e)Definitions and special rules for purposes of subsection (d)
(1)Recapture of expensed amounts on disposition
(A)In general
In the case of any plant with respect to which amoun"&amp;"ts would have been capitalized under subsection (a) but for an election under subsection (d)(3)—
(i)such plant (if not otherwise section 1245 property) shall be treated as section 1245 property, and
(ii)for purposes of section 1245, the recapture amount s"&amp;"hall be treated as a deduction allowed for depreciation with respect to such property.
(B)Recapture amount
For purposes of subparagraph (A), the term “recapture amount” means any amount allowable as a deduction to the taxpayer which, but for an election u"&amp;"nder subsection (d)(3), would have been capitalized with respect to the plant.
(2)Effects of election on depreciation
(A)In general
If the taxpayer (or any related person) makes an election under subsection (d)(3), the provisions of section 168(g)(2) (re"&amp;"lating to alternative depreciation) shall apply to all property of the taxpayer used predominantly in the farming business and placed in service in any taxable year during which any such election is in effect.
(B)Related person
For purposes of subparagra"&amp;"ph (A), the term “related person” means—
(i)the taxpayer and members of the taxpayer’s family,
(ii)any corporation (including an S corporation) if 50 percent or more (in value) of the stock of such corporation is owned (directly or through the application"&amp;" of section 318) by the taxpayer or members of the taxpayer’s family,
(iii)a corporation and any other corporation which is a member of the same controlled group described in section 1563(a)(1), and
(iv)any partnership if 50 percent or more (in value) of "&amp;"the interests in such partnership is owned directly or indirectly by the taxpayer or members of the taxpayer’s family.
(C)Members of family
For purposes of this paragraph, the term “family” means the taxpayer, the spouse of the taxpayer, and any of their "&amp;"children who have not attained age 18 before the close of the taxable year.
(3)Preproductive period
(A)In general
For purposes of this section, the term “preproductive period” means—
(i)in the case of a plant which will have more than 1 crop or yield, th"&amp;"e period before the 1st marketable crop or yield from such plant, or
(ii)in the case of any other plant, the period before such plant is reasonably expected to be disposed of.
For purposes of this subparagraph, use by the taxpayer in a farming business of"&amp;" any supply produced in such business shall be treated as a disposition.
(B)Rule for determining period
In the case of a plant grown in commercial quantities in the United States, the preproductive period for such plant if grown in the United States shall"&amp;" be based on the nationwide weighted average preproductive period for such plant.
(4)Farming business
For purposes of this section—
(A)In general
The term “farming business” means the trade or business of farming.
(B)Certain trades and businesses includ"&amp;"ed
The term “farming business” shall include the trade or business of—
(i)operating a nursery or sod farm, or
(ii)the raising or harvesting of trees bearing fruit, nuts, or other crops, or ornamental trees.
For purposes of clause (ii), an evergreen tree w"&amp;"hich is more than 6 years old at the time severed from the roots shall not be treated as an ornamental tree.
(5)Certain inventory valuation methods permitted
The Secretary shall by regulations permit the taxpayer to use reasonable inventory valuation meth"&amp;"ods to compute the amount required to be capitalized under subsection (a) in the case of any plant.
(f)Special rules for allocation of interest to property produced by the taxpayer
(1)Interest capitalized only in certain cases
Subsection (a) shall only a"&amp;"pply to interest costs which are—
(A)paid or incurred during the production period, and
(B)allocable to property which is described in subsection (b)(1) and which has—
(i)a long useful life,
(ii)an estimated production period exceeding 2 years, or
(iii)an"&amp;" estimated production period exceeding 1 year and a cost exceeding $1,000,000.
(2)Allocation rules
(A)In general
In determining the amount of interest required to be capitalized under subsection (a) with respect to any property—
(i)interest on any indebte"&amp;"dness directly attributable to production expenditures with respect to such property shall be assigned to such property, and
(ii)interest on any other indebtedness shall be assigned to such property to the extent that the taxpayer’s interest costs could h"&amp;"ave been reduced if production expenditures (not attributable to indebtedness described in clause (i)) had not been incurred.
(B)Exception for qualified residence interest
Subparagraph (A) shall not apply to any qualified residence interest (within the me"&amp;"aning of section 163(h)).
(C)Special rule for flow-through entities
Except as provided in regulations, in the case of any flow-through entity, this paragraph shall be applied first at the entity level and then at the beneficiary level.
(3)Interest relat"&amp;"ing to property used to produce property
This subsection shall apply to any interest on indebtedness allocable (as determined under paragraph (2)) to property used to produce property to which this subsection applies to the extent such interest is allocab"&amp;"le (as so determined) to the produced property.
(4)Exemption for aging process of beer, wine, and distilled spirits
For purposes of this subsection, the production period shall not include the aging period for—
(A)beer (as defined in section 5052(a)),
(B"&amp;")wine (as described in section 5041(a)), or
(C)distilled spirits (as defined in section 5002(a)(8)), except such spirits that are unfit for use for beverage purposes.
(5)Definitions
For purposes of this subsection—
(A)Long useful life
Property has a long "&amp;"useful life if such property is—
(i)real property, or
(ii)property with a class life of 20 years or more (as determined under section 168).
(B)Production period
The term “production period” means, when used with respect to any property, the period—
(i)beg"&amp;"inning on the date on which production of the property begins, and
(ii)except as provided in paragraph (4), ending on the date on which the property is ready to be placed in service or is ready to be held for sale.
(C)Production expenditures
The term “pro"&amp;"duction expenditures” means the costs (whether or not incurred during the production period) required to be capitalized under subsection (a) with respect to the property.
(g)Production
For purposes of this section—
(1)In general
The term “produce” includ"&amp;"es construct, build, install, manufacture, develop, or improve.
(2)Treatment of property produced under contract for the taxpayer
The taxpayer shall be treated as producing any property produced for the taxpayer under a contract with the taxpayer; except"&amp;" that only costs paid or incurred by the taxpayer (whether under such contract or otherwise) shall be taken into account in applying subsection (a) to the taxpayer.
(h)Exemption for free lance authors, photographers, and artists
(1)In general
Nothing in "&amp;"this section shall require the capitalization of any qualified creative expense.
(2)Qualified creative expense
For purposes of this subsection, the term “qualified creative expense” means any expense—
(A)which is paid or incurred by an individual in the "&amp;"trade or business of such individual (other than as an employee) of being a writer, photographer, or artist, and
(B)which, without regard to this section, would be allowable as a deduction for the taxable year.
Such term does not include any expense relat"&amp;"ed to printing, photographic plates, motion picture films, video tapes, or similar items.
(3)Definitions
For purposes of this subsection—
(A)Writer
The term “writer” means any individual if the personal efforts of such individual create (or may reasonably"&amp;" be expected to create) a literary manuscript, musical composition (including any accompanying words), or dance score.
(B)Photographer
The term “photographer” means any individual if the personal efforts of such individual create (or may reasonably be ex"&amp;"pected to create) a photograph or photographic negative or transparency.
(C)Artist
(i)In general
The term “artist” means any individual if the personal efforts of such individual create (or may reasonably be expected to create) a picture, painting, sculp"&amp;"ture, statue, etching, drawing, cartoon, graphic design, or original print edition.
(ii)Criteria
In determining whether any expense is paid or incurred in the trade or business of being an artist, the following criteria shall be taken into account:
(I)Th"&amp;"e originality and uniqueness of the item created (or to be created).
(II)The predominance of aesthetic value over utilitarian value of the item created (or to be created).
(D)Treatment of certain corporations
(i)In general
If—
(I)substantially all of the "&amp;"stock of a corporation is owned by a qualified employee-owner and members of his family (as defined in section 267(c)(4)), and
(II)the principal activity of such corporation is performance of personal services directly related to the activities of the qua"&amp;"lified employee-owner and such services are substantially performed by the qualified employee-owner,
 this subsection shall apply to any expense of such corporation which directly relates to the activities of such employee-owner in the same manner as if s"&amp;"uch expense were incurred by such employee-owner.
(ii)Qualified employee-owner
For purposes of this subparagraph, the term “qualified employee-owner” means any individual who is an employee-owner of the corporation (as defined in section 269A(b)(2)) and w"&amp;"ho is a writer, photographer, or artist.
(i)Exemption for certain small businesses
(1)In general
In the case of any taxpayer (other than a tax shelter prohibited from using the cash receipts and disbursements method of accounting under section 448(a)(3))"&amp;" which meets the gross receipts test of section 448(c) for any taxable year, this section shall not apply with respect to such taxpayer for such taxable year.
(2)Application of gross receipts test to individuals, etc.
In the case of any taxpayer which is"&amp;" not a corporation or a partnership, the gross receipts test of section 448(c) shall be applied in the same manner as if each trade or business of such taxpayer were a corporation or partnership.
(3)Coordination with section 481
Any change in method of a"&amp;"ccounting made pursuant to this subsection shall be treated for purposes of section 481 as initiated by the taxpayer and made with the consent of the Secretary.
(j)Regulations
The Secretary shall prescribe such regulations as may be necessary or appropri"&amp;"ate to carry out the purposes of this section, including—
(1)regulations to prevent the use of related parties, pass-thru entities, or intermediaries to avoid the application of this section, and
(2)regulations providing for simplified procedures for the "&amp;"application of this section in the case of property described in subsection (b)(2).
(Added Pub. L. 99–514, title VIII, § 803(a), Oct. 22, 1986, 100 Stat. 2350; amended Pub. L. 100–647, title I, § 1008(b)(1)–(4), title VI, § 6026(a)–(c), Nov. 10, 1988, 102"&amp;" Stat. 3437, 3438, 3691–3693; Pub. L. 101–239, title VII, § 7816(d)(1), Dec. 19, 1989, 103 Stat. 2420; Pub. L. 106–170, title V, § 532(c)(2)(B), Dec. 17, 1999, 113 Stat. 1930; Pub. L. 108–357, title III, § 338(b)(2), Oct. 22, 2004, 118 Stat. 1481; Pub. L."&amp;" 109–58, title XIII, § 1329(b), Aug. 8, 2005, 119 Stat. 1020; Pub. L. 114–113, div. Q, title I, § 143(b)(6)(H), Dec. 18, 2015, 129 Stat. 3064; Pub. L. 115–97, title I, §§ 13102(b), 13207(a), 13801(a), (b), Dec. 22, 2017, 131 Stat. 2103, 2113, 2169, 2170; "&amp;"Pub. L. 116–94, div. Q, title I, § 144(a)(1), Dec. 20, 2019, 133 Stat. 3234; Pub. L. 116–260, div. EE, title I, § 106(a)(1), Dec. 27, 2020, 134 Stat. 3041; Pub. L. 119–21, title VII, § 70302(b)(7)(B), July 4, 2025, 139 Stat. 192.)")</f>
        <v>(a)Nondeductibility of certain direct and indirect costs
(1)In general
In the case of any property to which this section applies, any costs described in paragraph (2)—
(A)in the case of property which is inventory in the hands of the taxpayer, shall be included in inventory costs, and
(B)in the case of any other property, shall be capitalized.
(2)Allocable costs
The costs described in this paragraph with respect to any property are—
(A)the direct costs of such property, and
(B)such property’s proper share of those indirect costs (including taxes) part or all of which are allocable to such property.
Any cost which (but for this subsection) could not be taken into account in computing taxable income for any taxable year shall not be treated as a cost described in this paragraph.
(b)Property to which section applies
Except as otherwise provided in this section, this section shall apply to—
(1)Property produced by taxpayer
Real or tangible personal property produced by the taxpayer.
(2)Property acquired for resale
Real or personal property described in section 1221(a)(1) which is acquired by the taxpayer for resale.
For purposes of paragraph (1), the term “tangible personal property” shall include a film, sound recording, video tape, book, or similar property.
(c)General exceptions
(1)Personal use property
This section shall not apply to any property produced by the taxpayer for use by the taxpayer other than in a trade or business or an activity conducted for profit.
(2)Research and experimental expenditures
This section shall not apply to any amount allowable as a deduction under section 174 or 174A.
(3)Certain development and other costs of oil and gas wells or other mineral property
This section shall not apply to any cost allowable as a deduction under section 167(h), 179B, 263(c), 263(i), 291(b)(2), 616, or 617.
(4)Coordination with long-term contract rules
This section shall not apply to any property produced by the taxpayer pursuant to a long-term contract.
(5)Timber and certain ornamental trees
This section shall not apply to—
(A)trees raised, harvested, or grown by the taxpayer other than trees described in clause (ii) of subsection (e)(4)(B) (after application of the last sentence thereof), and
(B)any real property underlying such trees.
(6)Coordination with section 59(e)
Paragraphs (2) and (3) shall apply to any amount allowable as a deduction under section 59(e) for qualified expenditures described in subparagraphs (B), (C), (D), and (E) of paragraph (2) thereof.
(7)Coordination with section 168(k)(5)
This section shall not apply to any amount allowed as a deduction by reason of section 168(k)(5) (relating to special rules for certain plants bearing fruits and nuts).
(d)Exception for farming businesses
(1)Section not to apply to certain property
(A)In general
This section shall not apply to any of the following which is produced by the taxpayer in a farming business:
(i)Any animal.
(ii)Any plant which has a preproductive period of 2 years or less.
(B)Exception for taxpayers required to use accrual method
Subparagraph (A) shall not apply to any corporation, partnership, or tax shelter required to use an accrual method of accounting under section 447 or 448(a)(3).
(2)Treatment of certain plants lost by reason of casualty
(A)In general
If plants bearing an edible crop for human consumption were lost or damaged (while in the hands of the taxpayer) by reason of freezing temperatures, disease, drought, pests, or casualty, this section shall not apply to any costs of the taxpayer of replanting plants bearing the same type of crop (whether on the same parcel of land on which such lost or damaged plants were located or any other parcel of land of the same acreage in the United States).
(B)Special rule for person with minority interest who materially participates
Subparagraph (A) shall apply to amounts paid or incurred by a person (other than the taxpayer described in subparagraph (A)) if—
(i)the taxpayer described in subparagraph (A) has an equity interest of more than 50 percent in the plants described in subparagraph (A) at all times during the taxable year in which such amounts were paid or incurred, and
(ii)such other person holds any part of the remaining equity interest and materially participates in the planting, maintenance, cultivation, or development of the plants described in subparagraph (A) during the taxable year in which such amounts were paid or incurred.
The determination of whether an individual materially participates in any activity shall be made in a manner similar to the manner in which such determination is made under section 2032A(e)(6).
(C)Special temporary rule for citrus plants lost by reason of casualty
(i)In general
In the case of the replanting of citrus plants, subparagraph (A) shall apply to amounts paid or incurred by a person (other than the taxpayer described in subparagraph (A)) if—
(I)the taxpayer described in subparagraph (A) has an equity interest of not less than 50 percent in the replanted citrus plants at all times during the taxable year in which such amounts were paid or incurred and such other person holds any part of the remaining equity interest, or
(II)such other person acquired the entirety of such taxpayer’s equity interest in the land on which the lost or damaged citrus plants were located at the time of such loss or damage, and the replanting is on such land.
(ii)Termination
Clause (i) shall not apply to any cost paid or incurred after the date which is 10 years after the date of the enactment of the Tax Cuts and Jobs Act.
(3)Election to have this section not apply
(A)In general
If a taxpayer makes an election under this paragraph, this section shall not apply to any plant produced in any farming business carried on by such taxpayer.
(B)Certain persons not eligible
No election may be made under this paragraph by a corporation, partnership, or tax shelter, if such corporation, partnership, or tax shelter is required to use an accrual method of accounting under section 447 or 448(a)(3).
(C)Special rule for citrus and almond growers
An election under this paragraph shall not apply with respect to any item which is attributable to the planting, cultivation, maintenance, or development of any citrus or almond grove (or part thereof) and which is incurred before the close of the 4th taxable year beginning with the taxable year in which the trees were planted. For purposes of the preceding sentence, the portion of a citrus or almond grove planted in 1 taxable year shall be treated separately from the portion of such grove planted in another taxable year.
(D)Election
Unless the Secretary otherwise consents, an election under this paragraph may be made only for the taxpayer’s 1st taxable year which begins after December 31, 1986, and during which the taxpayer engages in a farming business. Any such election, once made, may be revoked only with the consent of the Secretary.
(e)Definitions and special rules for purposes of subsection (d)
(1)Recapture of expensed amounts on disposition
(A)In general
In the case of any plant with respect to which amounts would have been capitalized under subsection (a) but for an election under subsection (d)(3)—
(i)such plant (if not otherwise section 1245 property) shall be treated as section 1245 property, and
(ii)for purposes of section 1245, the recapture amount shall be treated as a deduction allowed for depreciation with respect to such property.
(B)Recapture amount
For purposes of subparagraph (A), the term “recapture amount” means any amount allowable as a deduction to the taxpayer which, but for an election under subsection (d)(3), would have been capitalized with respect to the plant.
(2)Effects of election on depreciation
(A)In general
If the taxpayer (or any related person) makes an election under subsection (d)(3), the provisions of section 168(g)(2) (relating to alternative depreciation) shall apply to all property of the taxpayer used predominantly in the farming business and placed in service in any taxable year during which any such election is in effect.
(B)Related person
For purposes of subparagraph (A), the term “related person” means—
(i)the taxpayer and members of the taxpayer’s family,
(ii)any corporation (including an S corporation) if 50 percent or more (in value) of the stock of such corporation is owned (directly or through the application of section 318) by the taxpayer or members of the taxpayer’s family,
(iii)a corporation and any other corporation which is a member of the same controlled group described in section 1563(a)(1), and
(iv)any partnership if 50 percent or more (in value) of the interests in such partnership is owned directly or indirectly by the taxpayer or members of the taxpayer’s family.
(C)Members of family
For purposes of this paragraph, the term “family” means the taxpayer, the spouse of the taxpayer, and any of their children who have not attained age 18 before the close of the taxable year.
(3)Preproductive period
(A)In general
For purposes of this section, the term “preproductive period” means—
(i)in the case of a plant which will have more than 1 crop or yield, the period before the 1st marketable crop or yield from such plant, or
(ii)in the case of any other plant, the period before such plant is reasonably expected to be disposed of.
For purposes of this subparagraph, use by the taxpayer in a farming business of any supply produced in such business shall be treated as a disposition.
(B)Rule for determining period
In the case of a plant grown in commercial quantities in the United States, the preproductive period for such plant if grown in the United States shall be based on the nationwide weighted average preproductive period for such plant.
(4)Farming business
For purposes of this section—
(A)In general
The term “farming business” means the trade or business of farming.
(B)Certain trades and businesses included
The term “farming business” shall include the trade or business of—
(i)operating a nursery or sod farm, or
(ii)the raising or harvesting of trees bearing fruit, nuts, or other crops, or ornamental trees.
For purposes of clause (ii), an evergreen tree which is more than 6 years old at the time severed from the roots shall not be treated as an ornamental tree.
(5)Certain inventory valuation methods permitted
The Secretary shall by regulations permit the taxpayer to use reasonable inventory valuation methods to compute the amount required to be capitalized under subsection (a) in the case of any plant.
(f)Special rules for allocation of interest to property produced by the taxpayer
(1)Interest capitalized only in certain cases
Subsection (a) shall only apply to interest costs which are—
(A)paid or incurred during the production period, and
(B)allocable to property which is described in subsection (b)(1) and which has—
(i)a long useful life,
(ii)an estimated production period exceeding 2 years, or
(iii)an estimated production period exceeding 1 year and a cost exceeding $1,000,000.
(2)Allocation rules
(A)In general
In determining the amount of interest required to be capitalized under subsection (a) with respect to any property—
(i)interest on any indebtedness directly attributable to production expenditures with respect to such property shall be assigned to such property, and
(ii)interest on any other indebtedness shall be assigned to such property to the extent that the taxpayer’s interest costs could have been reduced if production expenditures (not attributable to indebtedness described in clause (i)) had not been incurred.
(B)Exception for qualified residence interest
Subparagraph (A) shall not apply to any qualified residence interest (within the meaning of section 163(h)).
(C)Special rule for flow-through entities
Except as provided in regulations, in the case of any flow-through entity, this paragraph shall be applied first at the entity level and then at the beneficiary level.
(3)Interest relating to property used to produce property
This subsection shall apply to any interest on indebtedness allocable (as determined under paragraph (2)) to property used to produce property to which this subsection applies to the extent such interest is allocable (as so determined) to the produced property.
(4)Exemption for aging process of beer, wine, and distilled spirits
For purposes of this subsection, the production period shall not include the aging period for—
(A)beer (as defined in section 5052(a)),
(B)wine (as described in section 5041(a)), or
(C)distilled spirits (as defined in section 5002(a)(8)), except such spirits that are unfit for use for beverage purposes.
(5)Definitions
For purposes of this subsection—
(A)Long useful life
Property has a long useful life if such property is—
(i)real property, or
(ii)property with a class life of 20 years or more (as determined under section 168).
(B)Production period
The term “production period” means, when used with respect to any property, the period—
(i)beginning on the date on which production of the property begins, and
(ii)except as provided in paragraph (4), ending on the date on which the property is ready to be placed in service or is ready to be held for sale.
(C)Production expenditures
The term “production expenditures” means the costs (whether or not incurred during the production period) required to be capitalized under subsection (a) with respect to the property.
(g)Production
For purposes of this section—
(1)In general
The term “produce” includes construct, build, install, manufacture, develop, or improve.
(2)Treatment of property produced under contract for the taxpayer
The taxpayer shall be treated as producing any property produced for the taxpayer under a contract with the taxpayer; except that only costs paid or incurred by the taxpayer (whether under such contract or otherwise) shall be taken into account in applying subsection (a) to the taxpayer.
(h)Exemption for free lance authors, photographers, and artists
(1)In general
Nothing in this section shall require the capitalization of any qualified creative expense.
(2)Qualified creative expense
For purposes of this subsection, the term “qualified creative expense” means any expense—
(A)which is paid or incurred by an individual in the trade or business of such individual (other than as an employee) of being a writer, photographer, or artist, and
(B)which, without regard to this section, would be allowable as a deduction for the taxable year.
Such term does not include any expense related to printing, photographic plates, motion picture films, video tapes, or similar items.
(3)Definitions
For purposes of this subsection—
(A)Writer
The term “writer” means any individual if the personal efforts of such individual create (or may reasonably be expected to create) a literary manuscript, musical composition (including any accompanying words), or dance score.
(B)Photographer
The term “photographer” means any individual if the personal efforts of such individual create (or may reasonably be expected to create) a photograph or photographic negative or transparency.
(C)Artist
(i)In general
The term “artist” means any individual if the personal efforts of such individual create (or may reasonably be expected to create) a picture, painting, sculpture, statue, etching, drawing, cartoon, graphic design, or original print edition.
(ii)Criteria
In determining whether any expense is paid or incurred in the trade or business of being an artist, the following criteria shall be taken into account:
(I)The originality and uniqueness of the item created (or to be created).
(II)The predominance of aesthetic value over utilitarian value of the item created (or to be created).
(D)Treatment of certain corporations
(i)In general
If—
(I)substantially all of the stock of a corporation is owned by a qualified employee-owner and members of his family (as defined in section 267(c)(4)), and
(II)the principal activity of such corporation is performance of personal services directly related to the activities of the qualified employee-owner and such services are substantially performed by the qualified employee-owner,
 this subsection shall apply to any expense of such corporation which directly relates to the activities of such employee-owner in the same manner as if such expense were incurred by such employee-owner.
(ii)Qualified employee-owner
For purposes of this subparagraph, the term “qualified employee-owner” means any individual who is an employee-owner of the corporation (as defined in section 269A(b)(2)) and who is a writer, photographer, or artist.
(i)Exemption for certain small businesses
(1)In general
In the case of any taxpayer (other than a tax shelter prohibited from using the cash receipts and disbursements method of accounting under section 448(a)(3)) which meets the gross receipts test of section 448(c) for any taxable year, this section shall not apply with respect to such taxpayer for such taxable year.
(2)Application of gross receipts test to individuals, etc.
In the case of any taxpayer which is not a corporation or a partnership, the gross receipts test of section 448(c) shall be applied in the same manner as if each trade or business of such taxpayer were a corporation or partnership.
(3)Coordination with section 481
Any change in method of accounting made pursuant to this subsection shall be treated for purposes of section 481 as initiated by the taxpayer and made with the consent of the Secretary.
(j)Regulations
The Secretary shall prescribe such regulations as may be necessary or appropriate to carry out the purposes of this section, including—
(1)regulations to prevent the use of related parties, pass-thru entities, or intermediaries to avoid the application of this section, and
(2)regulations providing for simplified procedures for the application of this section in the case of property described in subsection (b)(2).
(Added Pub. L. 99–514, title VIII, § 803(a), Oct. 22, 1986, 100 Stat. 2350; amended Pub. L. 100–647, title I, § 1008(b)(1)–(4), title VI, § 6026(a)–(c), Nov. 10, 1988, 102 Stat. 3437, 3438, 3691–3693; Pub. L. 101–239, title VII, § 7816(d)(1), Dec. 19, 1989, 103 Stat. 2420; Pub. L. 106–170, title V, § 532(c)(2)(B), Dec. 17, 1999, 113 Stat. 1930; Pub. L. 108–357, title III, § 338(b)(2), Oct. 22, 2004, 118 Stat. 1481; Pub. L. 109–58, title XIII, § 1329(b), Aug. 8, 2005, 119 Stat. 1020; Pub. L. 114–113, div. Q, title I, § 143(b)(6)(H), Dec. 18, 2015, 129 Stat. 3064; Pub. L. 115–97, title I, §§ 13102(b), 13207(a), 13801(a), (b), Dec. 22, 2017, 131 Stat. 2103, 2113, 2169, 2170; Pub. L. 116–94, div. Q, title I, § 144(a)(1), Dec. 20, 2019, 133 Stat. 3234; Pub. L. 116–260, div. EE, title I, § 106(a)(1), Dec. 27, 2020, 134 Stat. 3041; Pub. L. 119–21, title VII, § 70302(b)(7)(B), July 4, 2025, 139 Stat. 192.)</v>
      </c>
      <c r="M9" s="4" t="str">
        <f>IFERROR(__xludf.DUMMYFUNCTION("""COMPUTED_VALUE"""),"UNICAP requires businesses that produce or acquire property for resale to capitalize direct and certain indirect costs.")</f>
        <v>UNICAP requires businesses that produce or acquire property for resale to capitalize direct and certain indirect costs.</v>
      </c>
      <c r="N9" s="4" t="str">
        <f>IFERROR(__xludf.DUMMYFUNCTION("""COMPUTED_VALUE"""),"Industries: [Manufacturing, Wholesale Trade, Retail Trade, Agriculture, Construction] | Entities: [Corporations, Partnerships, Limited Liability Companies]")</f>
        <v>Industries: [Manufacturing, Wholesale Trade, Retail Trade, Agriculture, Construction] | Entities: [Corporations, Partnerships, Limited Liability Companies]</v>
      </c>
      <c r="O9" s="4" t="str">
        <f>IFERROR(__xludf.DUMMYFUNCTION("""COMPUTED_VALUE"""),"Cost of Goods Sold, Inventory Asset Accounts, Raw Materials, Work-in-Process, Finished Goods, Direct Labor, Manufacturing Overhead, Purchase Orders, Vendor Invoices, Gross Receipts, Indirect Production Costs (Rent, Utilities, Storage)")</f>
        <v>Cost of Goods Sold, Inventory Asset Accounts, Raw Materials, Work-in-Process, Finished Goods, Direct Labor, Manufacturing Overhead, Purchase Orders, Vendor Invoices, Gross Receipts, Indirect Production Costs (Rent, Utilities, Storage)</v>
      </c>
      <c r="P9" s="4" t="str">
        <f>IFERROR(__xludf.DUMMYFUNCTION("""COMPUTED_VALUE"""),"🚨 Important: UNICAP Compliance Update for [Entity]
How this affects you::
IRC Section 263A (UNICAP) requires your business to capitalize certain direct and indirect costs into inventory or asset basis rather than deducting them as current expenses. If y"&amp;"our average annual gross receipts exceed the [Threshold] small business exemption, you must capitalize costs like direct labor, materials, and a share of overhead allocable to produced or resold property.
✅ Identify all direct and indirect production or "&amp;"resale costs for capitalization
✅ Verify if your average annual gross receipts are below the [Threshold] exemption limit
✅ Ensure your QuickBooks Chart of Accounts correctly tracks inventory and capitalized overhead
📚 Source: IRC Section 263A
⚠️ Discla"&amp;"imer: This template is for informational purposes only. Tax laws are subject to change and individual circumstances vary. Please consult with a qualified tax professional to confirm eligibility and compliance for your specific entity.")</f>
        <v>🚨 Important: UNICAP Compliance Update for [Entity]
How this affects you::
IRC Section 263A (UNICAP) requires your business to capitalize certain direct and indirect costs into inventory or asset basis rather than deducting them as current expenses. If your average annual gross receipts exceed the [Threshold] small business exemption, you must capitalize costs like direct labor, materials, and a share of overhead allocable to produced or resold property.
✅ Identify all direct and indirect production or resale costs for capitalization
✅ Verify if your average annual gross receipts are below the [Threshold] exemption limit
✅ Ensure your QuickBooks Chart of Accounts correctly tracks inventory and capitalized overhead
📚 Source: IRC Section 263A
⚠️ Disclaimer: This template is for informational purposes only. Tax laws are subject to change and individual circumstances vary. Please consult with a qualified tax professional to confirm eligibility and compliance for your specific entity.</v>
      </c>
      <c r="Q9" s="4" t="str">
        <f>IFERROR(__xludf.DUMMYFUNCTION("""COMPUTED_VALUE"""),"IRC Section 263A requires direct and indirect costs to be capitalized rather than expensed, which can increase your taxable income and defer deductions until inventory is sold.")</f>
        <v>IRC Section 263A requires direct and indirect costs to be capitalized rather than expensed, which can increase your taxable income and defer deductions until inventory is sold.</v>
      </c>
      <c r="R9" s="18" t="str">
        <f>IFERROR(__xludf.DUMMYFUNCTION("""COMPUTED_VALUE"""),"https://www.law.cornell.edu/uscode/text/26/263A")</f>
        <v>https://www.law.cornell.edu/uscode/text/26/263A</v>
      </c>
      <c r="S9" s="19">
        <f>IFERROR(__xludf.DUMMYFUNCTION("""COMPUTED_VALUE"""),46023.0)</f>
        <v>46023</v>
      </c>
      <c r="T9" s="4" t="str">
        <f>IFERROR(__xludf.DUMMYFUNCTION("""COMPUTED_VALUE"""),"ACTIVE")</f>
        <v>ACTIVE</v>
      </c>
      <c r="U9" s="4"/>
      <c r="V9" s="4"/>
      <c r="W9" s="4"/>
      <c r="X9" s="4"/>
      <c r="Y9" s="4"/>
      <c r="Z9" s="4"/>
    </row>
    <row r="10">
      <c r="A10" s="13" t="s">
        <v>29</v>
      </c>
      <c r="B10" s="13" t="s">
        <v>30</v>
      </c>
      <c r="C10" s="4" t="s">
        <v>163</v>
      </c>
      <c r="D10" s="4" t="s">
        <v>164</v>
      </c>
      <c r="E10" s="4" t="s">
        <v>165</v>
      </c>
      <c r="F10" s="1" t="s">
        <v>166</v>
      </c>
      <c r="G10" s="4" t="s">
        <v>167</v>
      </c>
      <c r="H10" s="16" t="s">
        <v>168</v>
      </c>
      <c r="I10" s="17">
        <v>46023.0</v>
      </c>
      <c r="J10" s="1" t="s">
        <v>128</v>
      </c>
      <c r="K10" s="4" t="str">
        <f>IFERROR(__xludf.DUMMYFUNCTION("""COMPUTED_VALUE"""),"§163(j)")</f>
        <v>§163(j)</v>
      </c>
      <c r="L10" s="4" t="str">
        <f>IFERROR(__xludf.DUMMYFUNCTION("""COMPUTED_VALUE"""),"(j)Limitation on business interest
(1)In general
The amount allowed as a deduction under this chapter for any taxable year for business interest shall not exceed the sum of—
(A)the business interest income of such taxpayer for such taxable year,
(B)30 per"&amp;"cent of the adjusted taxable income of such taxpayer for such taxable year, plus
(C)the floor plan financing interest of such taxpayer for such taxable year.
The amount determined under subparagraph (B) shall not be less than zero.
(2)Carryforward of disa"&amp;"llowed business interest
The amount of any business interest not allowed as a deduction for any taxable year by reason of paragraph (1) shall be treated as business interest paid or accrued in the succeeding taxable year.
(3)Exemption for certain small b"&amp;"usinesses
In the case of any taxpayer (other than a tax shelter prohibited from using the cash receipts and disbursements method of accounting under section 448(a)(3)) which meets the gross receipts test of section 448(c) for any taxable year, paragraph ("&amp;"1) shall not apply to such taxpayer for such taxable year. In the case of any taxpayer which is not a corporation or a partnership, the gross receipts test of section 448(c) shall be applied in the same manner as if such taxpayer were a corporation or par"&amp;"tnership.
(4)Application to partnerships, etc.
(A)In general
In the case of any partnership—
(i)this subsection shall be applied at the partnership level and any deduction for business interest shall be taken into account in determining the non-separatel"&amp;"y stated taxable income or loss of the partnership, and
(ii)the adjusted taxable income of each partner of such partnership—
(I)shall be determined without regard to such partner’s distributive share of any items of income, gain, deduction, or loss of suc"&amp;"h partnership, and
(II)shall be increased by such partner’s distributive share of such partnership’s excess taxable income.
 For purposes of clause (ii)(II), a partner’s distributive share of partnership excess taxable income shall be determined in the sa"&amp;"me manner as the partner’s distributive share of nonseparately stated taxable income or loss of the partnership.
(B)Special rules for carryforwards
(i)In general
The amount of any business interest not allowed as a deduction to a partnership for any taxab"&amp;"le year by reason of paragraph (1) for any taxable year—
(I)shall not be treated under paragraph (2) as business interest paid or accrued by the partnership in the succeeding taxable year, and
(II)shall, subject to clause (ii), be treated as excess busine"&amp;"ss interest which is allocated to each partner in the same manner as the non-separately stated taxable income or loss of the partnership.
(ii)Treatment of excess business interest allocated to partners
If a partner is allocated any excess business interes"&amp;"t from a partnership under clause (i) for any taxable year—
(I)such excess business interest shall be treated as business interest paid or accrued by the partner in the next succeeding taxable year in which the partner is allocated excess taxable income f"&amp;"rom such partnership, but only to the extent of such excess taxable income, and
(II)any portion of such excess business interest remaining after the application of subclause (I) shall, subject to the limitations of subclause (I), be treated as business in"&amp;"terest paid or accrued in succeeding taxable years.
 For purposes of applying this paragraph, excess taxable income allocated to a partner from a partnership for any taxable year shall not be taken into account under paragraph (1)(A) with respect to any b"&amp;"usiness interest other than excess business interest from the partnership until all such excess business interest for such taxable year and all preceding taxable years has been treated as paid or accrued under clause (ii).
(iii)Basis adjustments
(I)In gen"&amp;"eral
The adjusted basis of a partner in a partnership interest shall be reduced (but not below zero) by the amount of excess business interest allocated to the partner under clause (i)(II).
(II)Special rule for dispositions
If a partner disposes of a par"&amp;"tnership interest, the adjusted basis of the partner in the partnership interest shall be increased immediately before the disposition by the amount of the excess (if any) of the amount of the basis reduction under subclause (I) over the portion of any ex"&amp;"cess business interest allocated to the partner under clause (i)(II) which has previously been treated under clause (ii) as business interest paid or accrued by the partner. The preceding sentence shall also apply to transfers of the partnership interest "&amp;"(including by reason of death) in a transaction in which gain is not recognized in whole or in part. No deduction shall be allowed to the transferor or transferee under this chapter for any excess business interest resulting in a basis increase under this"&amp;" subclause.
(C)Excess taxable income
The term “excess taxable income” means, with respect to any partnership, the amount which bears the same ratio to the partnership’s adjusted taxable income as—
(i)the excess (if any) of—
(I)the amount determined for t"&amp;"he partnership under paragraph (1)(B), over
(II)the amount (if any) by which the business interest of the partnership, reduced by the floor plan financing interest, exceeds the business interest income of the partnership, bears to
(ii)the amount determine"&amp;"d for the partnership under paragraph (1)(B).
(D)Application to S corporations
Rules similar to the rules of subparagraphs (A) and (C) shall apply with respect to any S corporation and its shareholders.
(5)Business interest
For purposes of this subsectio"&amp;"n, the term “business interest” means any interest paid or accrued on indebtedness properly allocable to a trade or business. Such term shall not include investment interest (within the meaning of subsection (d)). Such term shall not include any interest "&amp;"which is capitalized under section 263(g) or 263A(f).
(6)Business interest income
For purposes of this subsection, the term “business interest income” means the amount of interest includible in the gross income of the taxpayer for the taxable year which "&amp;"is properly allocable to a trade or business. Such term shall not include investment income (within the meaning of subsection (d)).
(7)Trade or business
For purposes of this subsection—
(A)In general
The term “trade or business” shall not include—
(i)the"&amp;" trade or business of performing services as an employee,
(ii)any electing real property trade or business,
(iii)any electing farming business, or
(iv)the trade or business of the furnishing or sale of—
(I)electrical energy, water, or sewage disposal serv"&amp;"ices,
(II)gas or steam through a local distribution system, or
(III)transportation of gas or steam by pipeline,
 if the rates for such furnishing or sale, as the case may be, have been established or approved by a State or political subdivision thereof, b"&amp;"y any agency or instrumentality of the United States, by a public service or public utility commission or other similar body of any State or political subdivision thereof, or by the governing or ratemaking body of an electric cooperative.
(B)Electing real"&amp;" property trade or business
For purposes of this paragraph, the term “electing real property trade or business” means any trade or business which is described in section 469(c)(7)(C) and which makes an election under this subparagraph. Any such election s"&amp;"hall be made at such time and in such manner as the Secretary shall prescribe, and, once made, shall be irrevocable.
(C)Electing farming business
For purposes of this paragraph, the term “electing farming business” means—
(i)a farming business (as define"&amp;"d in section 263A(e)(4)) which makes an election under this subparagraph, or
(ii)any trade or business of a specified agricultural or horticultural cooperative (as defined in section 199A(g)(2)) [1] with respect to which the cooperative makes an election "&amp;"under this subparagraph.
Any such election shall be made at such time and in such manner as the Secretary shall prescribe, and, once made, shall be irrevocable.
(8)Adjusted taxable income
For purposes of this subsection, the term “adjusted taxable income”"&amp;" means the taxable income of the taxpayer—
(A)computed without regard to—
(i)any item of income, gain, deduction, or loss which is not properly allocable to a trade or business,
(ii)any business interest or business interest income,
(iii)the amount of any"&amp;" net operating loss deduction under section 172,
(iv)the amount of any deduction allowed under section 199A,
(v)any deduction allowable for depreciation, amortization, or depletion, and
(vi)the amounts included in gross income under sections 951(a), 951A("&amp;"a), and 78 (and the portion of the deductions allowed under sections 245A(a) (by reason of section 964(e)(4)) and 250(a)(1)(B) by reason of such inclusions), and
(B)computed with such other adjustments as provided by the Secretary.
(9)Floor plan financing"&amp;" interest defined
For purposes of this subsection—
(A)In general
The term “floor plan financing interest” means interest paid or accrued on floor plan financing indebtedness.
(B)Floor plan financing indebtedness
The term “floor plan financing indebtednes"&amp;"s” means indebtedness—
(i)used to finance the acquisition of motor vehicles held for sale or lease, and
(ii)secured by the inventory so acquired.
(C)Motor vehicle
The term “motor vehicle” means a motor vehicle that is any of the following:
(i)Any self-pro"&amp;"pelled vehicle designed for transporting persons or property on a public street, highway, or road.
(ii)A boat.
(iii)Farm machinery or equipment.
Such term shall also include any trailer or camper which is designed to provide temporary living quarters for "&amp;"recreational, camping, or seasonal use and is designed to be towed by, or affixed to, a motor vehicle.
(10)Coordination with interest capitalization provisions
(A)In general
In applying this subsection—
(i)the limitation under paragraph (1) shall apply to"&amp;" business interest without regard to whether the taxpayer would otherwise deduct such business interest or capitalize such business interest under an interest capitalization provision, and
(ii)any reference in this subsection to a deduction for business i"&amp;"nterest shall be treated as including a reference to the capitalization of business interest.
(B)Amount allowed applied first to capitalized interest
The amount allowed after taking into account the limitation described in paragraph (1)—
(i)shall be appli"&amp;"ed first to the aggregate amount of business interest which would otherwise be capitalized, and
(ii)the remainder (if any) shall be applied to the aggregate amount of business interest which would be deducted.
(C)Treatment of disallowed interest carried f"&amp;"orward
No portion of any business interest carried forward under paragraph (2) from any taxable year to any succeeding taxable year shall, for purposes of this title (including any interest capitalization provision which previously applied to such portion"&amp;") be treated as interest to which an interest capitalization provision applies.
(D)Interest capitalization provision
For purposes of this section, the term “interest capitalization provision” means any provision of this subtitle under which interest—
(i)"&amp;"is required to be charged to capital account, or
(ii)may be deducted or charged to capital account.
(11)Regulatory authority
The Secretary shall issue such regulations or guidance as may be necessary or appropriate to carry out the purposes of this subsec"&amp;"tion, including regulations or guidance to determine which business interest is taken into account under this subsection and section 59A(c)(3).
(12)Special rule for taxable years beginning in 2019 and 2020
(A)In general
(i)In general
Except as provided i"&amp;"n clause (ii) or (iii), in the case of any taxable year beginning in 2019 or 2020, paragraph (1)(B) shall be applied by substituting “50 percent” for “30 percent”.
(ii)Special rule for partnerships
In the case of a partnership—
(I)clause (i) shall not ap"&amp;"ply to any taxable year beginning in 2019, but
(II)unless a partner elects not to have this subclause apply, in the case of any excess business interest of the partnership for any taxable year beginning in 2019 which is allocated to the partner under para"&amp;"graph (4)(B)(i)(II)—
(aa)50 percent of such excess business interest shall be treated as business interest which, notwithstanding paragraph (4)(B)(ii), is paid or accrued by the partner in the partner’s first taxable year beginning in 2020 and which is no"&amp;"t subject to the limits of paragraph (1), and
(bb)50 percent of such excess business interest shall be subject to the limitations of paragraph (4)(B)(ii) in the same manner as any other excess business interest so allocated.
(iii)Election out
A taxpayer m"&amp;"ay elect, at such time and in such manner as the Secretary may prescribe, not to have clause (i) apply to any taxable year. Such an election, once made, may be revoked only with the consent of the Secretary. In the case of a partnership, any such election"&amp;" shall be made by the partnership and may be made only for taxable years beginning in 2020.
(B)Election to use 2019 adjusted taxable income for taxable years beginning in 2020
(i)In general
Subject to clause (ii), in the case of any taxable year beginnin"&amp;"g in 2020, the taxpayer may elect to apply this subsection by substituting the adjusted taxable income of the taxpayer for the last taxable year beginning in 2019 for the adjusted taxable income for such taxable year. In the case of a partnership, any suc"&amp;"h election shall be made by the partnership.
(ii)Special rule for short taxable years
If an election is made under clause (i) for a taxable year which is a short taxable year, the adjusted taxable income for the taxpayer’s last taxable year beginning in "&amp;"2019 which is substituted under clause (i) shall be equal to the amount which bears the same ratio to such adjusted taxable income determined without regard to this clause as the number of months in the short taxable year bears to 12 [2]
(13)Cross refere"&amp;"nces
(A)For requirement that an electing real property trade or business use the alternative depreciation system, see section 168(g)(1)(F).
(B)For requirement that an electing farming business use the alternative depreciation system, see section 168(g)(1)"&amp;"(G).")</f>
        <v>(j)Limitation on business interest
(1)In general
The amount allowed as a deduction under this chapter for any taxable year for business interest shall not exceed the sum of—
(A)the business interest income of such taxpayer for such taxable year,
(B)30 percent of the adjusted taxable income of such taxpayer for such taxable year, plus
(C)the floor plan financing interest of such taxpayer for such taxable year.
The amount determined under subparagraph (B) shall not be less than zero.
(2)Carryforward of disallowed business interest
The amount of any business interest not allowed as a deduction for any taxable year by reason of paragraph (1) shall be treated as business interest paid or accrued in the succeeding taxable year.
(3)Exemption for certain small businesses
In the case of any taxpayer (other than a tax shelter prohibited from using the cash receipts and disbursements method of accounting under section 448(a)(3)) which meets the gross receipts test of section 448(c) for any taxable year, paragraph (1) shall not apply to such taxpayer for such taxable year. In the case of any taxpayer which is not a corporation or a partnership, the gross receipts test of section 448(c) shall be applied in the same manner as if such taxpayer were a corporation or partnership.
(4)Application to partnerships, etc.
(A)In general
In the case of any partnership—
(i)this subsection shall be applied at the partnership level and any deduction for business interest shall be taken into account in determining the non-separately stated taxable income or loss of the partnership, and
(ii)the adjusted taxable income of each partner of such partnership—
(I)shall be determined without regard to such partner’s distributive share of any items of income, gain, deduction, or loss of such partnership, and
(II)shall be increased by such partner’s distributive share of such partnership’s excess taxable income.
 For purposes of clause (ii)(II), a partner’s distributive share of partnership excess taxable income shall be determined in the same manner as the partner’s distributive share of nonseparately stated taxable income or loss of the partnership.
(B)Special rules for carryforwards
(i)In general
The amount of any business interest not allowed as a deduction to a partnership for any taxable year by reason of paragraph (1) for any taxable year—
(I)shall not be treated under paragraph (2) as business interest paid or accrued by the partnership in the succeeding taxable year, and
(II)shall, subject to clause (ii), be treated as excess business interest which is allocated to each partner in the same manner as the non-separately stated taxable income or loss of the partnership.
(ii)Treatment of excess business interest allocated to partners
If a partner is allocated any excess business interest from a partnership under clause (i) for any taxable year—
(I)such excess business interest shall be treated as business interest paid or accrued by the partner in the next succeeding taxable year in which the partner is allocated excess taxable income from such partnership, but only to the extent of such excess taxable income, and
(II)any portion of such excess business interest remaining after the application of subclause (I) shall, subject to the limitations of subclause (I), be treated as business interest paid or accrued in succeeding taxable years.
 For purposes of applying this paragraph, excess taxable income allocated to a partner from a partnership for any taxable year shall not be taken into account under paragraph (1)(A) with respect to any business interest other than excess business interest from the partnership until all such excess business interest for such taxable year and all preceding taxable years has been treated as paid or accrued under clause (ii).
(iii)Basis adjustments
(I)In general
The adjusted basis of a partner in a partnership interest shall be reduced (but not below zero) by the amount of excess business interest allocated to the partner under clause (i)(II).
(II)Special rule for dispositions
If a partner disposes of a partnership interest, the adjusted basis of the partner in the partnership interest shall be increased immediately before the disposition by the amount of the excess (if any) of the amount of the basis reduction under subclause (I) over the portion of any excess business interest allocated to the partner under clause (i)(II) which has previously been treated under clause (ii) as business interest paid or accrued by the partner. The preceding sentence shall also apply to transfers of the partnership interest (including by reason of death) in a transaction in which gain is not recognized in whole or in part. No deduction shall be allowed to the transferor or transferee under this chapter for any excess business interest resulting in a basis increase under this subclause.
(C)Excess taxable income
The term “excess taxable income” means, with respect to any partnership, the amount which bears the same ratio to the partnership’s adjusted taxable income as—
(i)the excess (if any) of—
(I)the amount determined for the partnership under paragraph (1)(B), over
(II)the amount (if any) by which the business interest of the partnership, reduced by the floor plan financing interest, exceeds the business interest income of the partnership, bears to
(ii)the amount determined for the partnership under paragraph (1)(B).
(D)Application to S corporations
Rules similar to the rules of subparagraphs (A) and (C) shall apply with respect to any S corporation and its shareholders.
(5)Business interest
For purposes of this subsection, the term “business interest” means any interest paid or accrued on indebtedness properly allocable to a trade or business. Such term shall not include investment interest (within the meaning of subsection (d)). Such term shall not include any interest which is capitalized under section 263(g) or 263A(f).
(6)Business interest income
For purposes of this subsection, the term “business interest income” means the amount of interest includible in the gross income of the taxpayer for the taxable year which is properly allocable to a trade or business. Such term shall not include investment income (within the meaning of subsection (d)).
(7)Trade or business
For purposes of this subsection—
(A)In general
The term “trade or business” shall not include—
(i)the trade or business of performing services as an employee,
(ii)any electing real property trade or business,
(iii)any electing farming business, or
(iv)the trade or business of the furnishing or sale of—
(I)electrical energy, water, or sewage disposal services,
(II)gas or steam through a local distribution system, or
(III)transportation of gas or steam by pipeline,
 if the rates for such furnishing or sale, as the case may be, have been established or approved by a State or political subdivision thereof, by any agency or instrumentality of the United States, by a public service or public utility commission or other similar body of any State or political subdivision thereof, or by the governing or ratemaking body of an electric cooperative.
(B)Electing real property trade or business
For purposes of this paragraph, the term “electing real property trade or business” means any trade or business which is described in section 469(c)(7)(C) and which makes an election under this subparagraph. Any such election shall be made at such time and in such manner as the Secretary shall prescribe, and, once made, shall be irrevocable.
(C)Electing farming business
For purposes of this paragraph, the term “electing farming business” means—
(i)a farming business (as defined in section 263A(e)(4)) which makes an election under this subparagraph, or
(ii)any trade or business of a specified agricultural or horticultural cooperative (as defined in section 199A(g)(2)) [1] with respect to which the cooperative makes an election under this subparagraph.
Any such election shall be made at such time and in such manner as the Secretary shall prescribe, and, once made, shall be irrevocable.
(8)Adjusted taxable income
For purposes of this subsection, the term “adjusted taxable income” means the taxable income of the taxpayer—
(A)computed without regard to—
(i)any item of income, gain, deduction, or loss which is not properly allocable to a trade or business,
(ii)any business interest or business interest income,
(iii)the amount of any net operating loss deduction under section 172,
(iv)the amount of any deduction allowed under section 199A,
(v)any deduction allowable for depreciation, amortization, or depletion, and
(vi)the amounts included in gross income under sections 951(a), 951A(a), and 78 (and the portion of the deductions allowed under sections 245A(a) (by reason of section 964(e)(4)) and 250(a)(1)(B) by reason of such inclusions), and
(B)computed with such other adjustments as provided by the Secretary.
(9)Floor plan financing interest defined
For purposes of this subsection—
(A)In general
The term “floor plan financing interest” means interest paid or accrued on floor plan financing indebtedness.
(B)Floor plan financing indebtedness
The term “floor plan financing indebtedness” means indebtedness—
(i)used to finance the acquisition of motor vehicles held for sale or lease, and
(ii)secured by the inventory so acquired.
(C)Motor vehicle
The term “motor vehicle” means a motor vehicle that is any of the following:
(i)Any self-propelled vehicle designed for transporting persons or property on a public street, highway, or road.
(ii)A boat.
(iii)Farm machinery or equipment.
Such term shall also include any trailer or camper which is designed to provide temporary living quarters for recreational, camping, or seasonal use and is designed to be towed by, or affixed to, a motor vehicle.
(10)Coordination with interest capitalization provisions
(A)In general
In applying this subsection—
(i)the limitation under paragraph (1) shall apply to business interest without regard to whether the taxpayer would otherwise deduct such business interest or capitalize such business interest under an interest capitalization provision, and
(ii)any reference in this subsection to a deduction for business interest shall be treated as including a reference to the capitalization of business interest.
(B)Amount allowed applied first to capitalized interest
The amount allowed after taking into account the limitation described in paragraph (1)—
(i)shall be applied first to the aggregate amount of business interest which would otherwise be capitalized, and
(ii)the remainder (if any) shall be applied to the aggregate amount of business interest which would be deducted.
(C)Treatment of disallowed interest carried forward
No portion of any business interest carried forward under paragraph (2) from any taxable year to any succeeding taxable year shall, for purposes of this title (including any interest capitalization provision which previously applied to such portion) be treated as interest to which an interest capitalization provision applies.
(D)Interest capitalization provision
For purposes of this section, the term “interest capitalization provision” means any provision of this subtitle under which interest—
(i)is required to be charged to capital account, or
(ii)may be deducted or charged to capital account.
(11)Regulatory authority
The Secretary shall issue such regulations or guidance as may be necessary or appropriate to carry out the purposes of this subsection, including regulations or guidance to determine which business interest is taken into account under this subsection and section 59A(c)(3).
(12)Special rule for taxable years beginning in 2019 and 2020
(A)In general
(i)In general
Except as provided in clause (ii) or (iii), in the case of any taxable year beginning in 2019 or 2020, paragraph (1)(B) shall be applied by substituting “50 percent” for “30 percent”.
(ii)Special rule for partnerships
In the case of a partnership—
(I)clause (i) shall not apply to any taxable year beginning in 2019, but
(II)unless a partner elects not to have this subclause apply, in the case of any excess business interest of the partnership for any taxable year beginning in 2019 which is allocated to the partner under paragraph (4)(B)(i)(II)—
(aa)50 percent of such excess business interest shall be treated as business interest which, notwithstanding paragraph (4)(B)(ii), is paid or accrued by the partner in the partner’s first taxable year beginning in 2020 and which is not subject to the limits of paragraph (1), and
(bb)50 percent of such excess business interest shall be subject to the limitations of paragraph (4)(B)(ii) in the same manner as any other excess business interest so allocated.
(iii)Election out
A taxpayer may elect, at such time and in such manner as the Secretary may prescribe, not to have clause (i) apply to any taxable year. Such an election, once made, may be revoked only with the consent of the Secretary. In the case of a partnership, any such election shall be made by the partnership and may be made only for taxable years beginning in 2020.
(B)Election to use 2019 adjusted taxable income for taxable years beginning in 2020
(i)In general
Subject to clause (ii), in the case of any taxable year beginning in 2020, the taxpayer may elect to apply this subsection by substituting the adjusted taxable income of the taxpayer for the last taxable year beginning in 2019 for the adjusted taxable income for such taxable year. In the case of a partnership, any such election shall be made by the partnership.
(ii)Special rule for short taxable years
If an election is made under clause (i) for a taxable year which is a short taxable year, the adjusted taxable income for the taxpayer’s last taxable year beginning in 2019 which is substituted under clause (i) shall be equal to the amount which bears the same ratio to such adjusted taxable income determined without regard to this clause as the number of months in the short taxable year bears to 12 [2]
(13)Cross references
(A)For requirement that an electing real property trade or business use the alternative depreciation system, see section 168(g)(1)(F).
(B)For requirement that an electing farming business use the alternative depreciation system, see section 168(g)(1)(G).</v>
      </c>
      <c r="M10" s="4" t="str">
        <f>IFERROR(__xludf.DUMMYFUNCTION("""COMPUTED_VALUE"""),"IRC Section 163(j) limits business interest deductions to 30% of adjusted taxable income plus business interest income.")</f>
        <v>IRC Section 163(j) limits business interest deductions to 30% of adjusted taxable income plus business interest income.</v>
      </c>
      <c r="N10" s="4" t="str">
        <f>IFERROR(__xludf.DUMMYFUNCTION("""COMPUTED_VALUE"""),"Industries: [Automotive, Agriculture, Real Estate, Manufacturing, Finance] | Entities: [Corporations, Partnerships, S Corporations]")</f>
        <v>Industries: [Automotive, Agriculture, Real Estate, Manufacturing, Finance] | Entities: [Corporations, Partnerships, S Corporations]</v>
      </c>
      <c r="O10" s="4" t="str">
        <f>IFERROR(__xludf.DUMMYFUNCTION("""COMPUTED_VALUE"""),"Interest Expense, Interest Income, Floor Plan Financing Interest, Gross Receipts (for 3-year average test), Net Income (Profit &amp; Loss), Depreciation, Amortization, Depletion, Net Operating Loss (NOL), Section 199A Deduction, Interest Capitalized to Assets"&amp;", Loan Balance/Debt Liabilities, EBITDA/ATI Adjustments")</f>
        <v>Interest Expense, Interest Income, Floor Plan Financing Interest, Gross Receipts (for 3-year average test), Net Income (Profit &amp; Loss), Depreciation, Amortization, Depletion, Net Operating Loss (NOL), Section 199A Deduction, Interest Capitalized to Assets, Loan Balance/Debt Liabilities, EBITDA/ATI Adjustments</v>
      </c>
      <c r="P10" s="4" t="str">
        <f>IFERROR(__xludf.DUMMYFUNCTION("""COMPUTED_VALUE"""),"🚨 Important: Business Interest Deduction Update for [Entity]
How this affects you::
Based on your [Interest_Expense] and [EBITDA], your business interest deduction is generally limited to 30% of your adjusted taxable income. We estimate your current ded"&amp;"uction limit at [Deduction_Limit], with a potential \[Disallowed\_Amount\] to be carried forward. This carryforward note ensures that any disallowed interest is not lost but can be treated as an expense in succeeding taxable years.
✅ Review your [EBITDA]"&amp;" and adjusted taxable income calculations for accuracy
✅ Implement a system for detailed interest tracking to manage carryforwards
✅ Consult with a CPA to evaluate debt structuring or potential elections
📚 Source: IRC Section 163(j)
⚠️ Disclaimer: This"&amp;" template is for informational purposes only. Tax laws are subject to change and individual circumstances vary. Please consult with a qualified tax professional to confirm eligibility and compliance for your specific entity.")</f>
        <v>🚨 Important: Business Interest Deduction Update for [Entity]
How this affects you::
Based on your [Interest_Expense] and [EBITDA], your business interest deduction is generally limited to 30% of your adjusted taxable income. We estimate your current deduction limit at [Deduction_Limit], with a potential \[Disallowed\_Amount\] to be carried forward. This carryforward note ensures that any disallowed interest is not lost but can be treated as an expense in succeeding taxable years.
✅ Review your [EBITDA] and adjusted taxable income calculations for accuracy
✅ Implement a system for detailed interest tracking to manage carryforwards
✅ Consult with a CPA to evaluate debt structuring or potential elections
📚 Source: IRC Section 163(j)
⚠️ Disclaimer: This template is for informational purposes only. Tax laws are subject to change and individual circumstances vary. Please consult with a qualified tax professional to confirm eligibility and compliance for your specific entity.</v>
      </c>
      <c r="Q10" s="4" t="str">
        <f>IFERROR(__xludf.DUMMYFUNCTION("""COMPUTED_VALUE"""),"IRC Section 163(j) limits the tax deductibility of interest to 30% of adjusted taxable income, which can lower your interest coverage ratio and increase your after-tax debt-to-EBITDA costs by reducing the cash flow benefit of debt.")</f>
        <v>IRC Section 163(j) limits the tax deductibility of interest to 30% of adjusted taxable income, which can lower your interest coverage ratio and increase your after-tax debt-to-EBITDA costs by reducing the cash flow benefit of debt.</v>
      </c>
      <c r="R10" s="18" t="str">
        <f>IFERROR(__xludf.DUMMYFUNCTION("""COMPUTED_VALUE"""),"https://www.law.cornell.edu/uscode/text/26/163")</f>
        <v>https://www.law.cornell.edu/uscode/text/26/163</v>
      </c>
      <c r="S10" s="19">
        <f>IFERROR(__xludf.DUMMYFUNCTION("""COMPUTED_VALUE"""),46023.0)</f>
        <v>46023</v>
      </c>
      <c r="T10" s="4" t="str">
        <f>IFERROR(__xludf.DUMMYFUNCTION("""COMPUTED_VALUE"""),"ACTIVE")</f>
        <v>ACTIVE</v>
      </c>
      <c r="U10" s="4"/>
      <c r="V10" s="4"/>
      <c r="W10" s="4"/>
      <c r="X10" s="4"/>
      <c r="Y10" s="4"/>
      <c r="Z10" s="4"/>
    </row>
    <row r="11">
      <c r="A11" s="13" t="s">
        <v>32</v>
      </c>
      <c r="B11" s="13" t="s">
        <v>33</v>
      </c>
      <c r="C11" s="4" t="s">
        <v>169</v>
      </c>
      <c r="D11" s="4" t="s">
        <v>170</v>
      </c>
      <c r="E11" s="4" t="s">
        <v>171</v>
      </c>
      <c r="F11" s="1" t="s">
        <v>172</v>
      </c>
      <c r="G11" s="4" t="s">
        <v>173</v>
      </c>
      <c r="H11" s="16" t="s">
        <v>174</v>
      </c>
      <c r="I11" s="17">
        <v>46023.0</v>
      </c>
      <c r="J11" s="1" t="s">
        <v>128</v>
      </c>
      <c r="K11" s="4" t="str">
        <f>IFERROR(__xludf.DUMMYFUNCTION("""COMPUTED_VALUE"""),"§274")</f>
        <v>§274</v>
      </c>
      <c r="L11" s="4" t="str">
        <f>IFERROR(__xludf.DUMMYFUNCTION("""COMPUTED_VALUE"""),"(a)Entertainment, amusement, recreation, or qualified transportation fringes
(1)In general
No deduction otherwise allowable under this chapter shall be allowed for any item—
(A)Activity
With respect to an activity which is of a type generally considered t"&amp;"o constitute entertainment, amusement, or recreation, or
(B)Facility
With respect to a facility used in connection with an activity referred to in subparagraph (A).
(2)Special rules
For purposes of applying paragraph (1)—
(A)Dues or fees to any social, "&amp;"athletic, or sporting club or organization shall be treated as items with respect to facilities.
(B)An activity described in section 212 shall be treated as a trade or business.
(3)Denial of deduction for club dues
Notwithstanding the preceding provisions"&amp;" of this subsection, no deduction shall be allowed under this chapter for amounts paid or incurred for membership in any club organized for business, pleasure, recreation, or other social purpose.
(4)Qualified transportation fringes
No deduction shall be"&amp;" allowed under this chapter for the expense of any qualified transportation fringe (as defined in section 132(f)) provided to an employee of the taxpayer.
(b)Gifts
(1)Limitation
No deduction shall be allowed under section 162 or section 212 for any expen"&amp;"se for gifts made directly or indirectly to any individual to the extent that such expense, when added to prior expenses of the taxpayer for gifts made to such individual during the same taxable year, exceeds $25. For purposes of this section, the term “g"&amp;"ift” means any item excludable from gross income of the recipient under section 102 which is not excludable from his gross income under any other provision of this chapter, but such term does not include—
(A)an item having a cost to the taxpayer not in ex"&amp;"cess of $4.00 on which the name of the taxpayer is clearly and permanently imprinted and which is one of a number of identical items distributed generally by the taxpayer, or
(B)a sign, display rack, or other promotional material to be used on the busines"&amp;"s premises of the recipient.
(2)Special rules
(A)In the case of a gift by a partnership, the limitation contained in paragraph (1) shall apply to the partnership as well as to each member thereof.
(B)For purposes of paragraph (1), a husband and wife shall"&amp;" be treated as one taxpayer.
(c)Certain foreign travel
(1)In general
In the case of any individual who travels outside the United States away from home in pursuit of a trade or business or in pursuit of an activity described in section 212, no deduction s"&amp;"hall be allowed under section 162 or section 212 for that portion of the expenses of such travel otherwise allowable under such section which, under regulations prescribed by the Secretary, is not allocable to such trade or business or to such activity.
"&amp;"(2)Exception
Paragraph (1) shall not apply to the expenses of any travel outside the United States away from home if—
(A)such travel does not exceed one week, or
(B)the portion of the time of travel outside the United States away from home which is not at"&amp;"tributable to the pursuit of the taxpayer’s trade or business or an activity described in section 212 is less than 25 percent of the total time on such travel.
(3)Domestic travel excluded
For purposes of this subsection, travel outside the United States d"&amp;"oes not include any travel from one point in the United States to another point in the United States.
(d)Substantiation required
No deduction or credit shall be allowed—
(1)under section 162 or 212 for any traveling expense (including meals and lodging w"&amp;"hile away from home),
(2)for any expense for gifts, or
(3)with respect to any listed property (as defined in section 280F(d)(4)),
unless the taxpayer substantiates by adequate records or by sufficient evidence corroborating the taxpayer’s own statement (A"&amp;") the amount of such expense or other item, (B) the time and place of the travel or the date and description of the gift, (C) the business purpose of the expense or other item, and (D) the business relationship to the taxpayer of the person receiving the "&amp;"benefit. The Secretary may by regulations provide that some or all of the requirements of the preceding sentence shall not apply in the case of an expense which does not exceed an amount prescribed pursuant to such regulations. This subsection shall not a"&amp;"pply to any qualified nonpersonal use vehicle (as defined in subsection (i)).
(e)Specific exceptions to application of subsection (a)
Subsection (a) shall not apply to—
(1)Food and beverages for employees
Expenses for food and beverages (and facilities us"&amp;"ed in connection therewith) furnished on the business premises of the taxpayer primarily for his employees.
(2)Expenses treated as compensation
(A)In general
Except as provided in subparagraph (B), expenses for goods, services, and facilities, to the ext"&amp;"ent that the expenses are treated by the taxpayer, with respect to the recipient of the entertainment, amusement, or recreation, as compensation to an employee on the taxpayer’s return of tax under this chapter and as wages to such employee for purposes o"&amp;"f chapter 24 (relating to withholding of income tax at source on wages).
(B)Specified individuals
(i)In general
In the case of a recipient who is a specified individual, subparagraph (A) and paragraph (9) shall each be applied by substituting “to the ext"&amp;"ent that the expenses do not exceed the amount of the expenses which” for “to the extent that the expenses”.
(ii)Specified individual
For purposes of clause (i), the term “specified individual” means any individual who—
(I)is subject to the requirements "&amp;"of section 16(a) of the Securities Exchange Act of 1934 with respect to the taxpayer or a related party to the taxpayer, or
(II)would be subject to such requirements if the taxpayer (or such related party) were an issuer of equity securities referred to i"&amp;"n such section.
 For purposes of this clause, a person is a related party with respect to another person if such person bears a relationship to such other person described in section 267(b) or 707(b).
(3)Reimbursed expenses
Expenses paid or incurred by th"&amp;"e taxpayer, in connection with the performance by him of services for another person (whether or not such other person is his employer), under a reimbursement or other expense allowance arrangement with such other person, but this paragraph shall apply—
("&amp;"A)where the services are performed for an employer, only if the employer has not treated such expenses in the manner provided in paragraph (2), or
(B)where the services are performed for a person other than an employer, only if the taxpayer accounts (to t"&amp;"he extent provided by subsection (d)) to such person.
(4)Recreational, etc., expenses for employees
Expenses for recreational, social, or similar activities (including facilities therefor) primarily for the benefit of employees (other than employees who a"&amp;"re highly compensated employees (within the meaning of section 414(q))). For purposes of this paragraph, an individual owning less than a 10-percent interest in the taxpayer’s trade or business shall not be considered a shareholder or other owner, and for"&amp;" such purposes an individual shall be treated as owning any interest owned by a member of his family (within the meaning of section 267(c)(4)). This paragraph shall not apply for purposes of subsection (a)(3).
(5)Employees, stockholder, etc., business me"&amp;"etings
Expenses incurred by a taxpayer which are directly related to business meetings of his employees, stockholders, agents, or directors.
(6)Meetings of business leagues, etc.
Expenses directly related and necessary to attendance at a business meeting"&amp;" or convention of any organization described in section 501(c)(6) (relating to business leagues, chambers of commerce, real estate boards, and boards of trade) and exempt from taxation under section 501(a).
(7)Items available to public
Expenses for goods"&amp;", services, and facilities made available by the taxpayer to the general public.
(8)Entertainment sold to customers
Expenses for goods or services (including the use of facilities) which are sold by the taxpayer in a bona fide transaction for an adequate"&amp;" and full consideration in money or money’s worth.
(9)Expenses includible in income of persons who are not employees
Expenses paid or incurred by the taxpayer for goods, services, and facilities to the extent that the expenses are includible in the gross"&amp;" income of a recipient of the entertainment, amusement, or recreation who is not an employee of the taxpayer as compensation for services rendered or as a prize or award under section 74. The preceding sentence shall not apply to any amount paid or incurr"&amp;"ed by the taxpayer if such amount is required to be included (or would be so required except that the amount is less than $600) in any information return filed by such taxpayer under part III of subchapter A of chapter 61 and is not so included.
For purp"&amp;"oses of this subsection, any item referred to in subsection (a) shall be treated as an expense.
(f)Interest, taxes, casualty losses, etc.
This section shall not apply to any deduction allowable to the taxpayer without regard to its connection with his tra"&amp;"de or business (or with his income-producing activity). In the case of a taxpayer which is not an individual, the preceding sentence shall be applied as if it were an individual.
(g)Treatment of entertainment, etc., type facility
For purposes of this cha"&amp;"pter, if deductions are disallowed under subsection (a) with respect to any portion of a facility, such portion shall be treated as an asset which is used for personal, living, and family purposes (and not as an asset used in the trade or business).
(h)A"&amp;"ttendance at conventions, etc.
(1)In general
In the case of any individual who attends a convention, seminar, or similar meeting which is held outside the North American area, no deduction shall be allowed under section 162 for expenses allocable to such "&amp;"meeting unless the taxpayer establishes that the meeting is directly related to the active conduct of his trade or business and that, after taking into account in the manner provided by regulations prescribed by the Secretary—
(A)the purpose of such meeti"&amp;"ng and the activities taking place at such meeting,
(B)the purposes and activities of the sponsoring organizations or groups,
(C)the residences of the active members of the sponsoring organization and the places at which other meetings of the sponsoring o"&amp;"rganization or groups have been held or will be held, and
(D)such other relevant factors as the taxpayer may present,
it is as reasonable for the meeting to be held outside the North American area as within the North American area.
(2)Conventions on cruis"&amp;"e ships
In the case of any individual who attends a convention, seminar, or other meeting which is held on any cruise ship, no deduction shall be allowed under section 162 for expenses allocable to such meeting, unless the taxpayer meets the requirements "&amp;"of paragraph (5) and establishes that the meeting is directly related to the active conduct of his trade or business and that—
(A)the cruise ship is a vessel registered in the United States; and
(B)all ports of call of such cruise ship are located in the "&amp;"United States or in possessions of the United States.
With respect to cruises beginning in any calendar year, not more than $2,000 of the expenses attributable to an individual attending one or more meetings may be taken into account under section 162 by "&amp;"reason of the preceding sentence.
(3)Definitions
For purposes of this subsection—
(A)North American area
The term “North American area” means the United States, its possessions, and the Trust Territory of the Pacific Islands, and Canada and Mexico.
(B)Cr"&amp;"uise ship
The term “cruise ship” means any vessel sailing within or without the territorial waters of the United States.
(4)Subsection to apply to employer as well as to traveler
(A)Except as provided in subparagraph (B), this subsection shall apply to d"&amp;"eductions otherwise allowable under section 162 to any person, whether or not such person is the individual attending the convention, seminar, or similar meeting.
(B)This subsection shall not deny a deduction to any person other than the individual attend"&amp;"ing the convention, seminar, or similar meeting with respect to any amount paid by such person to or on behalf of such individual if includible in the gross income of such individual. The preceding sentence shall not apply if the amount is required to be "&amp;"included in any information return filed by such person under part III of subchapter A of chapter 61 and is not so included.
(5)Reporting requirements
No deduction shall be allowed under section 162 for expenses allocable to attendance at a convention, se"&amp;"minar, or similar meeting on any cruise ship unless the taxpayer claiming the deduction attaches to the return of tax on which the deduction is claimed—
(A)a written statement signed by the individual attending the meeting which includes—
(i)information w"&amp;"ith respect to the total days of the trip, excluding the days of transportation to and from the cruise ship port, and the number of hours of each day of the trip which such individual devoted to scheduled business activities,
(ii)a program of the schedule"&amp;"d business activities of the meeting, and
(iii)such other information as may be required in regulations prescribed by the Secretary; and
(B)a written statement signed by an officer of the organization or group sponsoring the meeting which includes—
(i)a s"&amp;"chedule of the business activities of each day of the meeting,
(ii)the number of hours which the individual attending the meeting attended such scheduled business activities, and
(iii)such other information as may be required in regulations prescribed by "&amp;"the Secretary.
(6)Treatment of conventions in certain Caribbean countries
(A)In general
For purposes of this subsection, the term “North American area” includes, with respect to any convention, seminar, or similar meeting, any beneficiary country if (as o"&amp;"f the time such meeting begins)—
(i)there is in effect a bilateral or multilateral agreement described in subparagraph (C) between such country and the United States providing for the exchange of information between the United States and such country, and"&amp;"
(ii)there is not in effect a finding by the Secretary that the tax laws of such country discriminate against conventions held in the United States.
(B)Beneficiary country
For purposes of this paragraph, the term “beneficiary country” has the meaning give"&amp;"n to such term by section 212(a)(1)(A) of the Caribbean Basin Economic Recovery Act; except that such term shall include Bermuda.
(C)Authority to conclude exchange of information agreements
(i)In general
The Secretary is authorized to negotiate and concl"&amp;"ude an agreement for the exchange of information with any beneficiary country. Except as provided in clause (ii), an exchange of information agreement shall provide for the exchange of such information (not limited to information concerning nationals or r"&amp;"esidents of the United States or the beneficiary country) as may be necessary or appropriate to carry out and enforce the tax laws of the United States and the beneficiary country (whether criminal or civil proceedings), including information which may ot"&amp;"herwise be subject to nondisclosure provisions of the local law of the beneficiary country such as provisions respecting bank secrecy and bearer shares. The exchange of information agreement shall be terminable by either country on reasonable notice and s"&amp;"hall provide that information received by either country will be disclosed only to persons or authorities (including courts and administrative bodies) involved in the administration or oversight of, or in the determination of appeals in respect of, taxes "&amp;"of the United States or the beneficiary country and will be used by such persons or authorities only for such purposes.
(ii)Nondisclosure of qualified confidential information sought for civil tax purposes
An exchange of information agreement need not pr"&amp;"ovide for the exchange of qualified confidential information which is sought only for civil tax purposes if—
(I)the Secretary of the Treasury, after making all reasonable efforts to negotiate an agreement which includes the exchange of such information, d"&amp;"etermines that such an agreement cannot be negotiated but that the agreement which was negotiated will significantly assist in the administration and enforcement of the tax laws of the United States, and
(II)the President determines that the agreement as "&amp;"negotiated is in the national security interest of the United States.
(iii)Qualified confidential information defined
For purposes of this subparagraph, the term “qualified confidential information” means information which is subject to the nondisclosure "&amp;"provisions of any local law of the beneficiary country regarding bank secrecy or ownership of bearer shares.
(iv)Civil tax purposes
For purposes of this subparagraph, the determination of whether information is sought only for civil tax purposes shall be"&amp;" made by the requesting party.
(D)Coordination with other provisions
Any exchange of information agreement negotiated under subparagraph (C) shall be treated as an income tax convention for purposes of section 6103(k)(4). The Secretary may exercise his a"&amp;"uthority under subchapter A of chapter 78 to carry out any obligation of the United States under an agreement referred to in subparagraph (C).
(E)Determinations published in the Federal Register
The following shall be published in the Federal Register—
("&amp;"i)any determination by the President under subparagraph (C)(ii) (including the reasons for such determination),
(ii)any determination by the Secretary under subparagraph (C)(ii) (including the reasons for such determination), and
(iii)any finding by the S"&amp;"ecretary under subparagraph (A)(ii) (and any termination thereof).
(7)Seminars, etc. for section 212 purposes
No deduction shall be allowed under section 212 for expenses allocable to a convention, seminar, or similar meeting.
(i)Qualified nonpersonal us"&amp;"e vehicle
For purposes of subsection (d), the term “qualified nonpersonal use vehicle” means any vehicle which, by reason of its nature, is not likely to be used more than a de minimis amount for personal purposes.
(j)Employee achievement awards
(1)Gener"&amp;"al rule
No deduction shall be allowed under section 162 or section 212 for the cost of an employee achievement award except to the extent that such cost does not exceed the deduction limitations of paragraph (2).
(2)Deduction limitations
The deduction fo"&amp;"r the cost of an employee achievement award made by an employer to an employee—
(A)which is not a qualified plan award, when added to the cost to the employer for all other employee achievement awards made to such employee during the taxable year which ar"&amp;"e not qualified plan awards, shall not exceed $400, and
(B)which is a qualified plan award, when added to the cost to the employer for all other employee achievement awards made to such employee during the taxable year (including employee achievement awar"&amp;"ds which are not qualified plan awards), shall not exceed $1,600.
(3)Definitions
For purposes of this subsection—
(A)Employee achievement award
(i)In general
The term “employee achievement award” means an item of tangible personal property which is—
(I)tr"&amp;"ansferred by an employer to an employee for length of service achievement or safety achievement,
(II)awarded as part of a meaningful presentation, and
(III)awarded under conditions and circumstances that do not create a significant likelihood of the payme"&amp;"nt of disguised compensation.
(ii)Tangible personal property
For purposes of clause (i), the term “tangible personal property” shall not include—
(I)cash, cash equivalents, gift cards, gift coupons, or gift certificates (other than arrangements conferring"&amp;" only the right to select and receive tangible personal property from a limited array of such items pre-selected or pre-approved by the employer), or
(II)vacations, meals, lodging, tickets to theater or sporting events, stocks, bonds, other securities, an"&amp;"d other similar items.
(B)Qualified plan award
(i)In general
The term “qualified plan award” means an employee achievement award awarded as part of an established written plan or program of the taxpayer which does not discriminate in favor of highly compe"&amp;"nsated employees (within the meaning of section 414(q)) as to eligibility or benefits.
(ii)Limitation
An employee achievement award shall not be treated as a qualified plan award for any taxable year if the average cost of all employee achievement awards"&amp;" which are provided by the employer during the year, and which would be qualified plan awards but for this subparagraph, exceeds $400. For purposes of the preceding sentence, average cost shall be determined by including the entire cost of qualified plan "&amp;"awards, without taking into account employee achievement awards of nominal value.
(4)Special rules
For purposes of this subsection—
(A)Partnerships
In the case of an employee achievement award made by a partnership, the deduction limitations contained in"&amp;" paragraph (2) shall apply to the partnership as well as to each member thereof.
(B)Length of service awards
An item shall not be treated as having been provided for length of service achievement if the item is received during the recipient’s 1st 5 years"&amp;" of employment or if the recipient received a length of service achievement award (other than an award excludable under section 132(e)(1)) during that year or any of the prior 4 years.
(C)Safety achievement awards
An item provided by an employer to an em"&amp;"ployee shall not be treated as having been provided for safety achievement if—
(i)during the taxable year, employee achievement awards (other than awards excludable under section 132(e)(1)) for safety achievement have previously been awarded by the employ"&amp;"er to more than 10 percent of the employees of the employer (excluding employees described in clause (ii)), or
(ii)such item is awarded to a manager, administrator, clerical employee, or other professional employee.
(k)Business meals
(1)In general
No dedu"&amp;"ction shall be allowed under this chapter for the expense of any food or beverages unless—
(A)such expense is not lavish or extravagant under the circumstances, and
(B)the taxpayer (or an employee of the taxpayer) is present at the furnishing of such food"&amp;" or beverages.
(2)Exceptions
Paragraph (1) shall not apply to—
(A)any expense described in paragraph (2), (3), (4), (7), (8), or (9) of subsection (e), and
(B)any other expense to the extent provided in regulations.
(l)Transportation and commuting benefit"&amp;"s
No deduction shall be allowed under this chapter for any expense incurred for providing any transportation, or any payment or reimbursement, to an employee of the taxpayer in connection with travel between the employee’s residence and place of employmen"&amp;"t, except as necessary for ensuring the safety of the employee.
(m)Additional limitations on travel expenses
(1)Luxury water transportation
(A)In general
No deduction shall be allowed under this chapter for expenses incurred for transportation by water t"&amp;"o the extent such expenses exceed twice the aggregate per diem amounts for days of such transportation. For purposes of the preceding sentence, the term “per diem amounts” means the highest amount generally allowable with respect to a day to employees of "&amp;"the executive branch of the Federal Government for per diem while away from home but serving in the United States.
(B)Exceptions
Subparagraph (A) shall not apply to—
(i)any expense allocable to a convention, seminar, or other meeting which is held on any"&amp;" cruise ship, and
(ii)any expense described in paragraph (2), (3), (4), (7), (8), or (9) of subsection (e).
(2)Travel as form of education
No deduction shall be allowed under this chapter for expenses for travel as a form of education.
(3)Travel expenses"&amp;" of spouse, dependent, or others
No deduction shall be allowed under this chapter (other than section 217) for travel expenses paid or incurred with respect to a spouse, dependent, or other individual accompanying the taxpayer (or an officer or employee o"&amp;"f the taxpayer) on business travel, unless—
(A)the spouse, dependent, or other individual is an employee of the taxpayer,
(B)the travel of the spouse, dependent, or other individual is for a bona fide business purpose, and
(C)such expenses would otherwise"&amp;" be deductible by the spouse, dependent, or other individual.
(n)Only 50 percent of meal expenses allowed as deduction
(1)In general
The amount allowable as a deduction under this chapter for any expense for food or beverages shall not exceed 50 percent o"&amp;"f the amount of such expense which would (but for this paragraph) be allowable as a deduction under this chapter.
(2)Exceptions
Paragraph (1) shall not apply to any expense if—
(A)such expense is described in paragraph (2), (3), (4), (7), (8), or (9) of "&amp;"subsection (e),
(B)in the case of an employer who pays or reimburses moving expenses of an employee, such expenses are includible in the income of the employee under section 82,
(C)such expense is for food or beverages—
(i)required by any Federal law to b"&amp;"e provided to crew members of a commercial vessel,
(ii)provided to crew members of a commercial vessel—
(I)which is operating on the Great Lakes, the Saint Lawrence Seaway, or any inland waterway of the United States, and
(II)which is of a kind which woul"&amp;"d be required by Federal law to provide food and beverages to crew members if it were operated at sea,
(iii)provided on an oil or gas platform or drilling rig if the platform or rig is located offshore,
(iv)provided on an oil or gas platform or drilling r"&amp;"ig, or at a support camp which is in proximity and integral to such platform or rig, if the platform or rig is located in the United States north of 54 degrees north latitude, or
(v)provided—
(I)on a fishing vessel, fish processing vessel, or fish tender "&amp;"vessel (as such terms are defined in section 2101 of title 46, United States Code), or
(II)at a facility for the processing of fish for commercial use or consumption which—
(aa)is located in the United States north of 50 degrees north latitude, and
(bb)is"&amp;" not located in a metropolitan statistical area (within the meaning of section 143(k)(2)(B)), or
(D)such expense is—
(i)for food or beverages provided by a restaurant, and
(ii)paid or incurred before January 1, 2023.
Clauses (i) and (ii) of subparagraph ("&amp;"C) shall not apply to vessels primarily engaged in providing luxury water transportation (determined under the principles of subsection (m)). In the case of the employee, the exception of subparagraph (A) shall not apply to expenses described in subparagr"&amp;"aph (B).
(3)Special rule for individuals subject to Federal hours of service
In the case of any expenses for food or beverages consumed while away from home (within the meaning of section 162(a)(2)) by an individual during, or incident to, the period of d"&amp;"uty subject to the hours of service limitations of the Department of Transportation, paragraph (1) shall be applied by substituting “80 percent” for “50 percent”.
(o)Meals provided at convenience of employer
Except in the case of an expense described in "&amp;"subsection (e)(8) or (n)(2)(C), no deduction shall be allowed under this chapter for—
(1)any expense for the operation of a facility described in section 132(e)(2), and any expense for food or beverages, including under section 132(e)(1), associated with "&amp;"such facility, or
(2)any expense for meals described in section 119(a).
(p)Regulatory authority
The Secretary shall prescribe such regulations as he may deem necessary to carry out the purposes of this section, including regulations prescribing whether su"&amp;"bsection (a) or subsection (b) applies in cases where both such subsections would otherwise apply.
(Added Pub. L. 87–834, § 4(a)(1), Oct. 16, 1962, 76 Stat. 974; amended Pub. L. 88–272, title II, § 217(a), Feb. 26, 1964, 78 Stat. 56; Pub. L. 94–455, titl"&amp;"e VI, § 602(a), title XIX, § 1906(b)(13)(A), Oct. 4, 1976, 90 Stat. 1572, 1834; Pub. L. 95–600, title III, § 361(a), (b), title VII, § 701(g)(1)–(3), Nov. 6, 1978, 92 Stat. 2847, 2903, 2904; Pub. L. 96–222, title I, § 103(a)(10)(A), (B) Apr. 1, 1980, 94 S"&amp;"tat. 212; Pub. L. 96–598, § 5(a), Dec. 24, 1980, 94 Stat. 3488; Pub. L. 96–605, title I, § 108(a), Dec. 28, 1980, 94 Stat. 3524; Pub. L. 96–608, § 4(a), Dec. 28, 1980, 94 Stat. 3552; Pub. L. 97–34, title II, § 265(a), (b), Aug. 13, 1981, 95 Stat. 265; Pub"&amp;". L. 97–248, title III, §§ 307(a)(1), 308(a), Sept. 3, 1982, 96 Stat. 589, 591; Pub. L. 97–424, title V, § 543(a), Jan. 6, 1983, 96 Stat. 2195; Pub. L. 98–67, title I, § 102(a), title II, § 222(a), Aug. 5, 1983, 97 Stat. 369, 395; Pub. L. 98–369, div. A, "&amp;"title I, § 179(b)(1), title VIII, § 801(c), July 18, 1984, 98 Stat. 718, 995; Pub. L. 99–44, §§ 1(a), 2, 6(b), May 24, 1985, 99 Stat. 77, 79; Pub. L. 99–514, title I, §§ 122(c), (d), 142(a)–(c), title XI, § 1114(b)(6), Oct. 22, 1986, 100 Stat. 2110, 2117–"&amp;"2120, 2451; Pub. L. 100–647, title I, §§ 1001(g)(1)–(4)(A), (5), 1018(u)(2), title VI, § 6003(a), Nov. 10, 1988, 102 Stat. 3351, 3352, 3590, 3684; Pub. L. 101–239, title VII, §§ 7816(a), 7841(d)(18), Dec. 19, 1989, 103 Stat. 2420, 2429; Pub. L. 101–508, t"&amp;"itle XI, § 11802(b), Nov. 5, 1990, 104 Stat. 1388–529; Pub. L. 103–66, title XIII, §§ 13209(a), (b), 13210(a), (b), 13272(a), Aug. 10, 1993, 107 Stat. 469, 542; Pub. L. 105–34, title IX, § 969(a), Aug. 5, 1997, 111 Stat. 896; Pub. L. 108–357, title VIII, "&amp;"§ 907(a), Oct. 22, 2004, 118 Stat. 1654; Pub. L. 109–135, title IV, § 403(mm), Dec. 21, 2005, 119 Stat. 2632; Pub. L. 113–295, div. A, title II, § 221(a)(46), Dec. 19, 2014, 128 Stat. 4045; Pub. L. 115–97, title I, §§ 13304(a)(1)–(2)(E), (b)–(d), 13310(a)"&amp;", Dec. 22, 2017, 131 Stat. 2124–2126, 2132; Pub. L. 116–260, div. EE, title II, § 210(a), Dec. 27, 2020, 134 Stat. 3066; Pub. L. 119–21, title VII, §§ 70112(c), 70305(a), (b), July 4, 2025, 139 Stat. 165, 197.)")</f>
        <v>(a)Entertainment, amusement, recreation, or qualified transportation fringes
(1)In general
No deduction otherwise allowable under this chapter shall be allowed for any item—
(A)Activity
With respect to an activity which is of a type generally considered to constitute entertainment, amusement, or recreation, or
(B)Facility
With respect to a facility used in connection with an activity referred to in subparagraph (A).
(2)Special rules
For purposes of applying paragraph (1)—
(A)Dues or fees to any social, athletic, or sporting club or organization shall be treated as items with respect to facilities.
(B)An activity described in section 212 shall be treated as a trade or business.
(3)Denial of deduction for club dues
Notwithstanding the preceding provisions of this subsection, no deduction shall be allowed under this chapter for amounts paid or incurred for membership in any club organized for business, pleasure, recreation, or other social purpose.
(4)Qualified transportation fringes
No deduction shall be allowed under this chapter for the expense of any qualified transportation fringe (as defined in section 132(f)) provided to an employee of the taxpayer.
(b)Gifts
(1)Limitation
No deduction shall be allowed under section 162 or section 212 for any expense for gifts made directly or indirectly to any individual to the extent that such expense, when added to prior expenses of the taxpayer for gifts made to such individual during the same taxable year, exceeds $25. For purposes of this section, the term “gift” means any item excludable from gross income of the recipient under section 102 which is not excludable from his gross income under any other provision of this chapter, but such term does not include—
(A)an item having a cost to the taxpayer not in excess of $4.00 on which the name of the taxpayer is clearly and permanently imprinted and which is one of a number of identical items distributed generally by the taxpayer, or
(B)a sign, display rack, or other promotional material to be used on the business premises of the recipient.
(2)Special rules
(A)In the case of a gift by a partnership, the limitation contained in paragraph (1) shall apply to the partnership as well as to each member thereof.
(B)For purposes of paragraph (1), a husband and wife shall be treated as one taxpayer.
(c)Certain foreign travel
(1)In general
In the case of any individual who travels outside the United States away from home in pursuit of a trade or business or in pursuit of an activity described in section 212, no deduction shall be allowed under section 162 or section 212 for that portion of the expenses of such travel otherwise allowable under such section which, under regulations prescribed by the Secretary, is not allocable to such trade or business or to such activity.
(2)Exception
Paragraph (1) shall not apply to the expenses of any travel outside the United States away from home if—
(A)such travel does not exceed one week, or
(B)the portion of the time of travel outside the United States away from home which is not attributable to the pursuit of the taxpayer’s trade or business or an activity described in section 212 is less than 25 percent of the total time on such travel.
(3)Domestic travel excluded
For purposes of this subsection, travel outside the United States does not include any travel from one point in the United States to another point in the United States.
(d)Substantiation required
No deduction or credit shall be allowed—
(1)under section 162 or 212 for any traveling expense (including meals and lodging while away from home),
(2)for any expense for gifts, or
(3)with respect to any listed property (as defined in section 280F(d)(4)),
unless the taxpayer substantiates by adequate records or by sufficient evidence corroborating the taxpayer’s own statement (A) the amount of such expense or other item, (B) the time and place of the travel or the date and description of the gift, (C) the business purpose of the expense or other item, and (D) the business relationship to the taxpayer of the person receiving the benefit. The Secretary may by regulations provide that some or all of the requirements of the preceding sentence shall not apply in the case of an expense which does not exceed an amount prescribed pursuant to such regulations. This subsection shall not apply to any qualified nonpersonal use vehicle (as defined in subsection (i)).
(e)Specific exceptions to application of subsection (a)
Subsection (a) shall not apply to—
(1)Food and beverages for employees
Expenses for food and beverages (and facilities used in connection therewith) furnished on the business premises of the taxpayer primarily for his employees.
(2)Expenses treated as compensation
(A)In general
Except as provided in subparagraph (B), expenses for goods, services, and facilities, to the extent that the expenses are treated by the taxpayer, with respect to the recipient of the entertainment, amusement, or recreation, as compensation to an employee on the taxpayer’s return of tax under this chapter and as wages to such employee for purposes of chapter 24 (relating to withholding of income tax at source on wages).
(B)Specified individuals
(i)In general
In the case of a recipient who is a specified individual, subparagraph (A) and paragraph (9) shall each be applied by substituting “to the extent that the expenses do not exceed the amount of the expenses which” for “to the extent that the expenses”.
(ii)Specified individual
For purposes of clause (i), the term “specified individual” means any individual who—
(I)is subject to the requirements of section 16(a) of the Securities Exchange Act of 1934 with respect to the taxpayer or a related party to the taxpayer, or
(II)would be subject to such requirements if the taxpayer (or such related party) were an issuer of equity securities referred to in such section.
 For purposes of this clause, a person is a related party with respect to another person if such person bears a relationship to such other person described in section 267(b) or 707(b).
(3)Reimbursed expenses
Expenses paid or incurred by the taxpayer, in connection with the performance by him of services for another person (whether or not such other person is his employer), under a reimbursement or other expense allowance arrangement with such other person, but this paragraph shall apply—
(A)where the services are performed for an employer, only if the employer has not treated such expenses in the manner provided in paragraph (2), or
(B)where the services are performed for a person other than an employer, only if the taxpayer accounts (to the extent provided by subsection (d)) to such person.
(4)Recreational, etc., expenses for employees
Expenses for recreational, social, or similar activities (including facilities therefor) primarily for the benefit of employees (other than employees who are highly compensated employees (within the meaning of section 414(q))). For purposes of this paragraph, an individual owning less than a 10-percent interest in the taxpayer’s trade or business shall not be considered a shareholder or other owner, and for such purposes an individual shall be treated as owning any interest owned by a member of his family (within the meaning of section 267(c)(4)). This paragraph shall not apply for purposes of subsection (a)(3).
(5)Employees, stockholder, etc., business meetings
Expenses incurred by a taxpayer which are directly related to business meetings of his employees, stockholders, agents, or directors.
(6)Meetings of business leagues, etc.
Expenses directly related and necessary to attendance at a business meeting or convention of any organization described in section 501(c)(6) (relating to business leagues, chambers of commerce, real estate boards, and boards of trade) and exempt from taxation under section 501(a).
(7)Items available to public
Expenses for goods, services, and facilities made available by the taxpayer to the general public.
(8)Entertainment sold to customers
Expenses for goods or services (including the use of facilities) which are sold by the taxpayer in a bona fide transaction for an adequate and full consideration in money or money’s worth.
(9)Expenses includible in income of persons who are not employees
Expenses paid or incurred by the taxpayer for goods, services, and facilities to the extent that the expenses are includible in the gross income of a recipient of the entertainment, amusement, or recreation who is not an employee of the taxpayer as compensation for services rendered or as a prize or award under section 74. The preceding sentence shall not apply to any amount paid or incurred by the taxpayer if such amount is required to be included (or would be so required except that the amount is less than $600) in any information return filed by such taxpayer under part III of subchapter A of chapter 61 and is not so included.
For purposes of this subsection, any item referred to in subsection (a) shall be treated as an expense.
(f)Interest, taxes, casualty losses, etc.
This section shall not apply to any deduction allowable to the taxpayer without regard to its connection with his trade or business (or with his income-producing activity). In the case of a taxpayer which is not an individual, the preceding sentence shall be applied as if it were an individual.
(g)Treatment of entertainment, etc., type facility
For purposes of this chapter, if deductions are disallowed under subsection (a) with respect to any portion of a facility, such portion shall be treated as an asset which is used for personal, living, and family purposes (and not as an asset used in the trade or business).
(h)Attendance at conventions, etc.
(1)In general
In the case of any individual who attends a convention, seminar, or similar meeting which is held outside the North American area, no deduction shall be allowed under section 162 for expenses allocable to such meeting unless the taxpayer establishes that the meeting is directly related to the active conduct of his trade or business and that, after taking into account in the manner provided by regulations prescribed by the Secretary—
(A)the purpose of such meeting and the activities taking place at such meeting,
(B)the purposes and activities of the sponsoring organizations or groups,
(C)the residences of the active members of the sponsoring organization and the places at which other meetings of the sponsoring organization or groups have been held or will be held, and
(D)such other relevant factors as the taxpayer may present,
it is as reasonable for the meeting to be held outside the North American area as within the North American area.
(2)Conventions on cruise ships
In the case of any individual who attends a convention, seminar, or other meeting which is held on any cruise ship, no deduction shall be allowed under section 162 for expenses allocable to such meeting, unless the taxpayer meets the requirements of paragraph (5) and establishes that the meeting is directly related to the active conduct of his trade or business and that—
(A)the cruise ship is a vessel registered in the United States; and
(B)all ports of call of such cruise ship are located in the United States or in possessions of the United States.
With respect to cruises beginning in any calendar year, not more than $2,000 of the expenses attributable to an individual attending one or more meetings may be taken into account under section 162 by reason of the preceding sentence.
(3)Definitions
For purposes of this subsection—
(A)North American area
The term “North American area” means the United States, its possessions, and the Trust Territory of the Pacific Islands, and Canada and Mexico.
(B)Cruise ship
The term “cruise ship” means any vessel sailing within or without the territorial waters of the United States.
(4)Subsection to apply to employer as well as to traveler
(A)Except as provided in subparagraph (B), this subsection shall apply to deductions otherwise allowable under section 162 to any person, whether or not such person is the individual attending the convention, seminar, or similar meeting.
(B)This subsection shall not deny a deduction to any person other than the individual attending the convention, seminar, or similar meeting with respect to any amount paid by such person to or on behalf of such individual if includible in the gross income of such individual. The preceding sentence shall not apply if the amount is required to be included in any information return filed by such person under part III of subchapter A of chapter 61 and is not so included.
(5)Reporting requirements
No deduction shall be allowed under section 162 for expenses allocable to attendance at a convention, seminar, or similar meeting on any cruise ship unless the taxpayer claiming the deduction attaches to the return of tax on which the deduction is claimed—
(A)a written statement signed by the individual attending the meeting which includes—
(i)information with respect to the total days of the trip, excluding the days of transportation to and from the cruise ship port, and the number of hours of each day of the trip which such individual devoted to scheduled business activities,
(ii)a program of the scheduled business activities of the meeting, and
(iii)such other information as may be required in regulations prescribed by the Secretary; and
(B)a written statement signed by an officer of the organization or group sponsoring the meeting which includes—
(i)a schedule of the business activities of each day of the meeting,
(ii)the number of hours which the individual attending the meeting attended such scheduled business activities, and
(iii)such other information as may be required in regulations prescribed by the Secretary.
(6)Treatment of conventions in certain Caribbean countries
(A)In general
For purposes of this subsection, the term “North American area” includes, with respect to any convention, seminar, or similar meeting, any beneficiary country if (as of the time such meeting begins)—
(i)there is in effect a bilateral or multilateral agreement described in subparagraph (C) between such country and the United States providing for the exchange of information between the United States and such country, and
(ii)there is not in effect a finding by the Secretary that the tax laws of such country discriminate against conventions held in the United States.
(B)Beneficiary country
For purposes of this paragraph, the term “beneficiary country” has the meaning given to such term by section 212(a)(1)(A) of the Caribbean Basin Economic Recovery Act; except that such term shall include Bermuda.
(C)Authority to conclude exchange of information agreements
(i)In general
The Secretary is authorized to negotiate and conclude an agreement for the exchange of information with any beneficiary country. Except as provided in clause (ii), an exchange of information agreement shall provide for the exchange of such information (not limited to information concerning nationals or residents of the United States or the beneficiary country) as may be necessary or appropriate to carry out and enforce the tax laws of the United States and the beneficiary country (whether criminal or civil proceedings), including information which may otherwise be subject to nondisclosure provisions of the local law of the beneficiary country such as provisions respecting bank secrecy and bearer shares. The exchange of information agreement shall be terminable by either country on reasonable notice and shall provide that information received by either country will be disclosed only to persons or authorities (including courts and administrative bodies) involved in the administration or oversight of, or in the determination of appeals in respect of, taxes of the United States or the beneficiary country and will be used by such persons or authorities only for such purposes.
(ii)Nondisclosure of qualified confidential information sought for civil tax purposes
An exchange of information agreement need not provide for the exchange of qualified confidential information which is sought only for civil tax purposes if—
(I)the Secretary of the Treasury, after making all reasonable efforts to negotiate an agreement which includes the exchange of such information, determines that such an agreement cannot be negotiated but that the agreement which was negotiated will significantly assist in the administration and enforcement of the tax laws of the United States, and
(II)the President determines that the agreement as negotiated is in the national security interest of the United States.
(iii)Qualified confidential information defined
For purposes of this subparagraph, the term “qualified confidential information” means information which is subject to the nondisclosure provisions of any local law of the beneficiary country regarding bank secrecy or ownership of bearer shares.
(iv)Civil tax purposes
For purposes of this subparagraph, the determination of whether information is sought only for civil tax purposes shall be made by the requesting party.
(D)Coordination with other provisions
Any exchange of information agreement negotiated under subparagraph (C) shall be treated as an income tax convention for purposes of section 6103(k)(4). The Secretary may exercise his authority under subchapter A of chapter 78 to carry out any obligation of the United States under an agreement referred to in subparagraph (C).
(E)Determinations published in the Federal Register
The following shall be published in the Federal Register—
(i)any determination by the President under subparagraph (C)(ii) (including the reasons for such determination),
(ii)any determination by the Secretary under subparagraph (C)(ii) (including the reasons for such determination), and
(iii)any finding by the Secretary under subparagraph (A)(ii) (and any termination thereof).
(7)Seminars, etc. for section 212 purposes
No deduction shall be allowed under section 212 for expenses allocable to a convention, seminar, or similar meeting.
(i)Qualified nonpersonal use vehicle
For purposes of subsection (d), the term “qualified nonpersonal use vehicle” means any vehicle which, by reason of its nature, is not likely to be used more than a de minimis amount for personal purposes.
(j)Employee achievement awards
(1)General rule
No deduction shall be allowed under section 162 or section 212 for the cost of an employee achievement award except to the extent that such cost does not exceed the deduction limitations of paragraph (2).
(2)Deduction limitations
The deduction for the cost of an employee achievement award made by an employer to an employee—
(A)which is not a qualified plan award, when added to the cost to the employer for all other employee achievement awards made to such employee during the taxable year which are not qualified plan awards, shall not exceed $400, and
(B)which is a qualified plan award, when added to the cost to the employer for all other employee achievement awards made to such employee during the taxable year (including employee achievement awards which are not qualified plan awards), shall not exceed $1,600.
(3)Definitions
For purposes of this subsection—
(A)Employee achievement award
(i)In general
The term “employee achievement award” means an item of tangible personal property which is—
(I)transferred by an employer to an employee for length of service achievement or safety achievement,
(II)awarded as part of a meaningful presentation, and
(III)awarded under conditions and circumstances that do not create a significant likelihood of the payment of disguised compensation.
(ii)Tangible personal property
For purposes of clause (i), the term “tangible personal property” shall not include—
(I)cash, cash equivalents, gift cards, gift coupons, or gift certificates (other than arrangements conferring only the right to select and receive tangible personal property from a limited array of such items pre-selected or pre-approved by the employer), or
(II)vacations, meals, lodging, tickets to theater or sporting events, stocks, bonds, other securities, and other similar items.
(B)Qualified plan award
(i)In general
The term “qualified plan award” means an employee achievement award awarded as part of an established written plan or program of the taxpayer which does not discriminate in favor of highly compensated employees (within the meaning of section 414(q)) as to eligibility or benefits.
(ii)Limitation
An employee achievement award shall not be treated as a qualified plan award for any taxable year if the average cost of all employee achievement awards which are provided by the employer during the year, and which would be qualified plan awards but for this subparagraph, exceeds $400. For purposes of the preceding sentence, average cost shall be determined by including the entire cost of qualified plan awards, without taking into account employee achievement awards of nominal value.
(4)Special rules
For purposes of this subsection—
(A)Partnerships
In the case of an employee achievement award made by a partnership, the deduction limitations contained in paragraph (2) shall apply to the partnership as well as to each member thereof.
(B)Length of service awards
An item shall not be treated as having been provided for length of service achievement if the item is received during the recipient’s 1st 5 years of employment or if the recipient received a length of service achievement award (other than an award excludable under section 132(e)(1)) during that year or any of the prior 4 years.
(C)Safety achievement awards
An item provided by an employer to an employee shall not be treated as having been provided for safety achievement if—
(i)during the taxable year, employee achievement awards (other than awards excludable under section 132(e)(1)) for safety achievement have previously been awarded by the employer to more than 10 percent of the employees of the employer (excluding employees described in clause (ii)), or
(ii)such item is awarded to a manager, administrator, clerical employee, or other professional employee.
(k)Business meals
(1)In general
No deduction shall be allowed under this chapter for the expense of any food or beverages unless—
(A)such expense is not lavish or extravagant under the circumstances, and
(B)the taxpayer (or an employee of the taxpayer) is present at the furnishing of such food or beverages.
(2)Exceptions
Paragraph (1) shall not apply to—
(A)any expense described in paragraph (2), (3), (4), (7), (8), or (9) of subsection (e), and
(B)any other expense to the extent provided in regulations.
(l)Transportation and commuting benefits
No deduction shall be allowed under this chapter for any expense incurred for providing any transportation, or any payment or reimbursement, to an employee of the taxpayer in connection with travel between the employee’s residence and place of employment, except as necessary for ensuring the safety of the employee.
(m)Additional limitations on travel expenses
(1)Luxury water transportation
(A)In general
No deduction shall be allowed under this chapter for expenses incurred for transportation by water to the extent such expenses exceed twice the aggregate per diem amounts for days of such transportation. For purposes of the preceding sentence, the term “per diem amounts” means the highest amount generally allowable with respect to a day to employees of the executive branch of the Federal Government for per diem while away from home but serving in the United States.
(B)Exceptions
Subparagraph (A) shall not apply to—
(i)any expense allocable to a convention, seminar, or other meeting which is held on any cruise ship, and
(ii)any expense described in paragraph (2), (3), (4), (7), (8), or (9) of subsection (e).
(2)Travel as form of education
No deduction shall be allowed under this chapter for expenses for travel as a form of education.
(3)Travel expenses of spouse, dependent, or others
No deduction shall be allowed under this chapter (other than section 217) for travel expenses paid or incurred with respect to a spouse, dependent, or other individual accompanying the taxpayer (or an officer or employee of the taxpayer) on business travel, unless—
(A)the spouse, dependent, or other individual is an employee of the taxpayer,
(B)the travel of the spouse, dependent, or other individual is for a bona fide business purpose, and
(C)such expenses would otherwise be deductible by the spouse, dependent, or other individual.
(n)Only 50 percent of meal expenses allowed as deduction
(1)In general
The amount allowable as a deduction under this chapter for any expense for food or beverages shall not exceed 50 percent of the amount of such expense which would (but for this paragraph) be allowable as a deduction under this chapter.
(2)Exceptions
Paragraph (1) shall not apply to any expense if—
(A)such expense is described in paragraph (2), (3), (4), (7), (8), or (9) of subsection (e),
(B)in the case of an employer who pays or reimburses moving expenses of an employee, such expenses are includible in the income of the employee under section 82,
(C)such expense is for food or beverages—
(i)required by any Federal law to be provided to crew members of a commercial vessel,
(ii)provided to crew members of a commercial vessel—
(I)which is operating on the Great Lakes, the Saint Lawrence Seaway, or any inland waterway of the United States, and
(II)which is of a kind which would be required by Federal law to provide food and beverages to crew members if it were operated at sea,
(iii)provided on an oil or gas platform or drilling rig if the platform or rig is located offshore,
(iv)provided on an oil or gas platform or drilling rig, or at a support camp which is in proximity and integral to such platform or rig, if the platform or rig is located in the United States north of 54 degrees north latitude, or
(v)provided—
(I)on a fishing vessel, fish processing vessel, or fish tender vessel (as such terms are defined in section 2101 of title 46, United States Code), or
(II)at a facility for the processing of fish for commercial use or consumption which—
(aa)is located in the United States north of 50 degrees north latitude, and
(bb)is not located in a metropolitan statistical area (within the meaning of section 143(k)(2)(B)), or
(D)such expense is—
(i)for food or beverages provided by a restaurant, and
(ii)paid or incurred before January 1, 2023.
Clauses (i) and (ii) of subparagraph (C) shall not apply to vessels primarily engaged in providing luxury water transportation (determined under the principles of subsection (m)). In the case of the employee, the exception of subparagraph (A) shall not apply to expenses described in subparagraph (B).
(3)Special rule for individuals subject to Federal hours of service
In the case of any expenses for food or beverages consumed while away from home (within the meaning of section 162(a)(2)) by an individual during, or incident to, the period of duty subject to the hours of service limitations of the Department of Transportation, paragraph (1) shall be applied by substituting “80 percent” for “50 percent”.
(o)Meals provided at convenience of employer
Except in the case of an expense described in subsection (e)(8) or (n)(2)(C), no deduction shall be allowed under this chapter for—
(1)any expense for the operation of a facility described in section 132(e)(2), and any expense for food or beverages, including under section 132(e)(1), associated with such facility, or
(2)any expense for meals described in section 119(a).
(p)Regulatory authority
The Secretary shall prescribe such regulations as he may deem necessary to carry out the purposes of this section, including regulations prescribing whether subsection (a) or subsection (b) applies in cases where both such subsections would otherwise apply.
(Added Pub. L. 87–834, § 4(a)(1), Oct. 16, 1962, 76 Stat. 974; amended Pub. L. 88–272, title II, § 217(a), Feb. 26, 1964, 78 Stat. 56; Pub. L. 94–455, title VI, § 602(a), title XIX, § 1906(b)(13)(A), Oct. 4, 1976, 90 Stat. 1572, 1834; Pub. L. 95–600, title III, § 361(a), (b), title VII, § 701(g)(1)–(3), Nov. 6, 1978, 92 Stat. 2847, 2903, 2904; Pub. L. 96–222, title I, § 103(a)(10)(A), (B) Apr. 1, 1980, 94 Stat. 212; Pub. L. 96–598, § 5(a), Dec. 24, 1980, 94 Stat. 3488; Pub. L. 96–605, title I, § 108(a), Dec. 28, 1980, 94 Stat. 3524; Pub. L. 96–608, § 4(a), Dec. 28, 1980, 94 Stat. 3552; Pub. L. 97–34, title II, § 265(a), (b), Aug. 13, 1981, 95 Stat. 265; Pub. L. 97–248, title III, §§ 307(a)(1), 308(a), Sept. 3, 1982, 96 Stat. 589, 591; Pub. L. 97–424, title V, § 543(a), Jan. 6, 1983, 96 Stat. 2195; Pub. L. 98–67, title I, § 102(a), title II, § 222(a), Aug. 5, 1983, 97 Stat. 369, 395; Pub. L. 98–369, div. A, title I, § 179(b)(1), title VIII, § 801(c), July 18, 1984, 98 Stat. 718, 995; Pub. L. 99–44, §§ 1(a), 2, 6(b), May 24, 1985, 99 Stat. 77, 79; Pub. L. 99–514, title I, §§ 122(c), (d), 142(a)–(c), title XI, § 1114(b)(6), Oct. 22, 1986, 100 Stat. 2110, 2117–2120, 2451; Pub. L. 100–647, title I, §§ 1001(g)(1)–(4)(A), (5), 1018(u)(2), title VI, § 6003(a), Nov. 10, 1988, 102 Stat. 3351, 3352, 3590, 3684; Pub. L. 101–239, title VII, §§ 7816(a), 7841(d)(18), Dec. 19, 1989, 103 Stat. 2420, 2429; Pub. L. 101–508, title XI, § 11802(b), Nov. 5, 1990, 104 Stat. 1388–529; Pub. L. 103–66, title XIII, §§ 13209(a), (b), 13210(a), (b), 13272(a), Aug. 10, 1993, 107 Stat. 469, 542; Pub. L. 105–34, title IX, § 969(a), Aug. 5, 1997, 111 Stat. 896; Pub. L. 108–357, title VIII, § 907(a), Oct. 22, 2004, 118 Stat. 1654; Pub. L. 109–135, title IV, § 403(mm), Dec. 21, 2005, 119 Stat. 2632; Pub. L. 113–295, div. A, title II, § 221(a)(46), Dec. 19, 2014, 128 Stat. 4045; Pub. L. 115–97, title I, §§ 13304(a)(1)–(2)(E), (b)–(d), 13310(a), Dec. 22, 2017, 131 Stat. 2124–2126, 2132; Pub. L. 116–260, div. EE, title II, § 210(a), Dec. 27, 2020, 134 Stat. 3066; Pub. L. 119–21, title VII, §§ 70112(c), 70305(a), (b), July 4, 2025, 139 Stat. 165, 197.)</v>
      </c>
      <c r="M11" s="4" t="str">
        <f>IFERROR(__xludf.DUMMYFUNCTION("""COMPUTED_VALUE"""),"IRC Section 274 generally disallows deductions for entertainment expenses while limiting business meal deductions to 50 percent.")</f>
        <v>IRC Section 274 generally disallows deductions for entertainment expenses while limiting business meal deductions to 50 percent.</v>
      </c>
      <c r="N11" s="4" t="str">
        <f>IFERROR(__xludf.DUMMYFUNCTION("""COMPUTED_VALUE"""),"Industries: [Hospitality, Travel, Entertainment, Food and Beverage, Professional Services] | Entities: [Corporations, Partnerships, Limited Liability Companies, Sole Proprietorships]")</f>
        <v>Industries: [Hospitality, Travel, Entertainment, Food and Beverage, Professional Services] | Entities: [Corporations, Partnerships, Limited Liability Companies, Sole Proprietorships]</v>
      </c>
      <c r="O11" s="4" t="str">
        <f>IFERROR(__xludf.DUMMYFUNCTION("""COMPUTED_VALUE"""),"Travel Expense, Meals Expense, Entertainment Expense, Gifts, Automobile Expense, Lodging, Transportation, Chart of Accounts, General Ledger, Vendor Invoices, Receipts, Expense Reports")</f>
        <v>Travel Expense, Meals Expense, Entertainment Expense, Gifts, Automobile Expense, Lodging, Transportation, Chart of Accounts, General Ledger, Vendor Invoices, Receipts, Expense Reports</v>
      </c>
      <c r="P11" s="4" t="str">
        <f>IFERROR(__xludf.DUMMYFUNCTION("""COMPUTED_VALUE"""),"🚨 Important: Business Meal and Entertainment Deduction Update for [Entity]
How this affects you::
Beginning in 2026, tax laws regarding meals and entertainment have tightened. While business meals with clients remain 50% deductible, most employer-provid"&amp;"ed meals (like on-site snacks or cafeteria food) are now nondeductible. Based on your current [Meal_Expense], we estimate your [Deductible_Amount] and [NonDeductible_Amount]. Note that entertainment activities—such as sporting events, golf, or club dues—r"&amp;"emain 100% nondeductible even if they have a business purpose.
✅ Maintain detailed records for each meal, including the business purpose, relationship of attendees, date, and location to substantiate the 50% deduction
✅ Review and update your internal re"&amp;"imbursement policies to reflect the total loss of deductions for employer-provided convenience meals
✅ Tag all food and beverage expenses in QuickBooks by class or category to distinguish between 50% deductible travel/client meals and nondeductible entert"&amp;"ainment
📚 Source: IRC Section 274
⚠️ Disclaimer: This template is for informational purposes only. Tax laws are subject to change and individual circumstances vary. Please consult with a qualified tax professional to confirm eligibility and compliance "&amp;"for your specific entity.")</f>
        <v>🚨 Important: Business Meal and Entertainment Deduction Update for [Entity]
How this affects you::
Beginning in 2026, tax laws regarding meals and entertainment have tightened. While business meals with clients remain 50% deductible, most employer-provided meals (like on-site snacks or cafeteria food) are now nondeductible. Based on your current [Meal_Expense], we estimate your [Deductible_Amount] and [NonDeductible_Amount]. Note that entertainment activities—such as sporting events, golf, or club dues—remain 100% nondeductible even if they have a business purpose.
✅ Maintain detailed records for each meal, including the business purpose, relationship of attendees, date, and location to substantiate the 50% deduction
✅ Review and update your internal reimbursement policies to reflect the total loss of deductions for employer-provided convenience meals
✅ Tag all food and beverage expenses in QuickBooks by class or category to distinguish between 50% deductible travel/client meals and nondeductible entertainment
📚 Source: IRC Section 274
⚠️ Disclaimer: This template is for informational purposes only. Tax laws are subject to change and individual circumstances vary. Please consult with a qualified tax professional to confirm eligibility and compliance for your specific entity.</v>
      </c>
      <c r="Q11" s="4" t="str">
        <f>IFERROR(__xludf.DUMMYFUNCTION("""COMPUTED_VALUE"""),"IRC Section 274 increases your effective tax rate by disallowing deductions for entertainment and limiting business meal deductions, thereby raising taxable income without increasing cash flow.")</f>
        <v>IRC Section 274 increases your effective tax rate by disallowing deductions for entertainment and limiting business meal deductions, thereby raising taxable income without increasing cash flow.</v>
      </c>
      <c r="R11" s="18" t="str">
        <f>IFERROR(__xludf.DUMMYFUNCTION("""COMPUTED_VALUE"""),"https://www.law.cornell.edu/uscode/text/26/274")</f>
        <v>https://www.law.cornell.edu/uscode/text/26/274</v>
      </c>
      <c r="S11" s="19">
        <f>IFERROR(__xludf.DUMMYFUNCTION("""COMPUTED_VALUE"""),46023.0)</f>
        <v>46023</v>
      </c>
      <c r="T11" s="4" t="str">
        <f>IFERROR(__xludf.DUMMYFUNCTION("""COMPUTED_VALUE"""),"ACTIVE")</f>
        <v>ACTIVE</v>
      </c>
      <c r="U11" s="4"/>
      <c r="V11" s="4"/>
      <c r="W11" s="4"/>
      <c r="X11" s="4"/>
      <c r="Y11" s="4"/>
      <c r="Z11" s="4"/>
    </row>
    <row r="12">
      <c r="A12" s="13" t="s">
        <v>35</v>
      </c>
      <c r="B12" s="13" t="s">
        <v>36</v>
      </c>
      <c r="C12" s="13" t="s">
        <v>37</v>
      </c>
      <c r="D12" s="13" t="s">
        <v>38</v>
      </c>
      <c r="E12" s="13" t="s">
        <v>39</v>
      </c>
      <c r="F12" s="1" t="s">
        <v>175</v>
      </c>
      <c r="G12" s="13" t="s">
        <v>41</v>
      </c>
      <c r="H12" s="16" t="s">
        <v>176</v>
      </c>
      <c r="I12" s="17">
        <v>46023.0</v>
      </c>
      <c r="J12" s="1" t="s">
        <v>128</v>
      </c>
      <c r="K12" s="4" t="str">
        <f>IFERROR(__xludf.DUMMYFUNCTION("""COMPUTED_VALUE"""),"§451")</f>
        <v>§451</v>
      </c>
      <c r="L12" s="4" t="str">
        <f>IFERROR(__xludf.DUMMYFUNCTION("""COMPUTED_VALUE"""),"(a)General rule
The amount of any item of gross income shall be included in the gross income for the taxable year in which received by the taxpayer, unless, under the method of accounting used in computing taxable income, such amount is to be properly acc"&amp;"ounted for as of a different period.
(b)Inclusion not later than for financial accounting purposes
(1)Income taken into account in financial statement
(A)In general
In the case of a taxpayer the taxable income of which is computed under an accrual method"&amp;" of accounting, the all events test with respect to any item of gross income (or portion thereof) shall not be treated as met any later than when such item (or portion thereof) is taken into account as revenue in—
(i)an applicable financial statement of t"&amp;"he taxpayer, or
(ii)such other financial statement as the Secretary may specify for purposes of this subsection.
(B)Exception
This paragraph shall not apply to—
(i)a taxpayer which does not have a financial statement described in clause (i) or (ii) of sub"&amp;"paragraph (A) for a taxable year, or
(ii)any item of gross income in connection with a mortgage servicing contract.
(C)All events test
For purposes of this section, the all events test is met with respect to any item of gross income if all the events have"&amp;" occurred which fix the right to receive such income and the amount of such income can be determined with reasonable accuracy.
(2)Coordination with special methods of accounting
Paragraph (1) shall not apply with respect to any item of gross income for w"&amp;"hich the taxpayer uses a special method of accounting provided under any other provision of this chapter, other than any provision of part V of subchapter P (except as provided in clause (ii) of paragraph (1)(B)).
(3)Applicable financial statement
For pu"&amp;"rposes of this subsection, the term “applicable financial statement” means—
(A)a financial statement which is certified as being prepared in accordance with generally accepted accounting principles and which is—
(i)a 10–K (or successor form), or annual st"&amp;"atement to shareholders, required to be filed by the taxpayer with the United States Securities and Exchange Commission,
(ii)an audited financial statement of the taxpayer which is used for—
(I)credit purposes,
(II)reporting to shareholders, partners, or "&amp;"other proprietors, or to beneficiaries, or
(III)any other substantial nontax purpose,
 but only if there is no statement of the taxpayer described in clause (i), or
(iii)filed by the taxpayer with any other Federal agency for purposes other than Federal t"&amp;"ax purposes, but only if there is no statement of the taxpayer described in clause (i) or (ii),
(B)a financial statement which is made on the basis of international financial reporting standards and is filed by the taxpayer with an agency of a foreign gov"&amp;"ernment which is equivalent to the United States Securities and Exchange Commission and which has reporting standards not less stringent than the standards required by such Commission, but only if there is no statement of the taxpayer described in subpara"&amp;"graph (A), or
(C)a financial statement filed by the taxpayer with any other regulatory or governmental body specified by the Secretary, but only if there is no statement of the taxpayer described in subparagraph (A) or (B).
(4)Allocation of transaction pr"&amp;"ice
For purposes of this subsection, in the case of a contract which contains multiple performance obligations, the allocation of the transaction price to each performance obligation shall be equal to the amount allocated to each performance obligation fo"&amp;"r purposes of including such item in revenue in the applicable financial statement of the taxpayer.
(5)Group of entities
For purposes of paragraph (1), if the financial results of a taxpayer are reported on the applicable financial statement (as defined "&amp;"in paragraph (3)) for a group of entities, such statement shall be treated as the applicable financial statement of the taxpayer.
(c)Treatment of advance payments
(1)In general
A taxpayer which computes taxable income under the accrual method of accounti"&amp;"ng, and receives any advance payment during the taxable year, shall—
(A)except as provided in subparagraph (B), include such advance payment in gross income for such taxable year, or
(B)if the taxpayer elects the application of this subparagraph with resp"&amp;"ect to the category of advance payments to which such advance payment belongs, the taxpayer shall—
(i)to the extent that any portion of such advance payment is required under subsection (b) to be included in gross income in the taxable year in which such "&amp;"payment is received, so include such portion, and
(ii)include the remaining portion of such advance payment in gross income in the taxable year following the taxable year in which such payment is received.
(2)Election
(A)In general
Except as otherwise pro"&amp;"vided in this paragraph, the election under paragraph (1)(B) shall be made at such time, in such form and manner, and with respect to such categories of advance payments, as the Secretary may provide.
(B)Period to which election applies
An election under"&amp;" paragraph (1)(B) shall be effective for the taxable year with respect to which it is first made and for all subsequent taxable years, unless the taxpayer secures the consent of the Secretary to revoke such election. For purposes of this title, the comput"&amp;"ation of taxable income under an election made under paragraph (1)(B) shall be treated as a method of accounting.
(3)Taxpayers ceasing to exist
Except as otherwise provided by the Secretary, the election under paragraph (1)(B) shall not apply with respec"&amp;"t to advance payments received by the taxpayer during a taxable year if such taxpayer ceases to exist during (or with the close of) such taxable year.
(4)Advance payment
For purposes of this subsection—
(A)In general
The term “advance payment” means any "&amp;"payment—
(i)the full inclusion of which in the gross income of the taxpayer for the taxable year of receipt is a permissible method of accounting under this section (determined without regard to this subsection),
(ii)any portion of which is included in re"&amp;"venue by the taxpayer in a financial statement described in clause (i) or (ii) of subsection (b)(1)(A) for a subsequent taxable year, and
(iii)which is for goods, services, or such other items as may be identified by the Secretary for purposes of this cla"&amp;"use.
(B)Exclusions
Except as otherwise provided by the Secretary, such term shall not include—
(i)rent,
(ii)insurance premiums governed by subchapter L,
(iii)payments with respect to financial instruments,
(iv)payments with respect to warranty or guarante"&amp;"e contracts under which a third party is the primary obligor,
(v)payments subject to section 871(a), 881, 1441, or 1442,
(vi)payments in property to which section 83 applies, and
(vii)any other payment identified by the Secretary for purposes of this subp"&amp;"aragraph.
(C)Receipt
For purposes of this subsection, an item of gross income is received by the taxpayer if it is actually or constructively received, or if it is due and payable to the taxpayer.
(D)Allocation of transaction price
For purposes of this s"&amp;"ubsection, rules similar to subsection (b)(4) shall apply.
(d)Special rule in case of death
In the case of the death of a taxpayer whose taxable income is computed under an accrual method of accounting, any amount accrued only by reason of the death of t"&amp;"he taxpayer shall not be included in computing taxable income for the period in which falls the date of the taxpayer’s death.
(e)Special rule for employee tips
For purposes of subsection (a), tips included in a written statement furnished an employer by "&amp;"an employee pursuant to section 6053(a) shall be deemed to be received at the time the written statement including such tips is furnished to the employer.
(f)Special rule for crop insurance proceeds or disaster payments
In the case of insurance proceeds "&amp;"received as a result of destruction or damage to crops, a taxpayer reporting on the cash receipts and disbursements method of accounting may elect to include such proceeds in income for the taxable year following the taxable year of destruction or damage,"&amp;" if he establishes that, under his practice, income from such crops would have been reported in a following taxable year. For purposes of the preceding sentence, payments received under the Agricultural Act of 1949, as amended, or title II of the Disaster"&amp;" Assistance Act of 1988, as a result of (1) destruction or damage to crops caused by drought, flood, or any other natural disaster, or (2) the inability to plant crops because of such a natural disaster shall be treated as insurance proceeds received as a"&amp;" result of destruction or damage to crops. An election under this subsection for any taxable year shall be made at such time and in such manner as the Secretary prescribes.
(g)Special rule for proceeds from livestock sold on account of drought, flood, or"&amp;" other weather-related conditions
(1)In general
In the case of income derived from the sale or exchange of livestock in excess of the number the taxpayer would sell if he followed his usual business practices, a taxpayer reporting on the cash receipts and"&amp;" disbursements method of accounting may elect to include such income for the taxable year following the taxable year in which such sale or exchange occurs if he establishes that, under his usual business practices, the sale or exchange would not have occu"&amp;"rred in the taxable year in which it occurred if it were not for drought, flood, or other weather-related conditions, and that such conditions had resulted in the area being designated as eligible for assistance by the Federal Government.
(2)Limitation
P"&amp;"aragraph (1) shall apply only to a taxpayer whose principal trade or business is farming (within the meaning of section 6420(c)(3)).
(3)Special election rules
If section 1033(e)(2) applies to a sale or exchange of livestock described in paragraph (1), th"&amp;"e election under paragraph (1) shall be deemed valid if made during the replacement period described in such section.
(h)Special rule for utility services
(1)In general
In the case of a taxpayer the taxable income of which is computed under an accrual me"&amp;"thod of accounting, any income attributable to the sale or furnishing of utility services to customers shall be included in gross income not later than the taxable year in which such services are provided to such customers.
(2)Definition and special rule"&amp;"
For purposes of this subsection—
(A)Utility services
The term “utility services” includes—
(i)the providing of electrical energy, water, or sewage disposal,
(ii)the furnishing of gas or steam through a local distribution system,
(iii)telephone or other c"&amp;"ommunication services, and
(iv)the transporting of gas or steam by pipeline.
(B)Year in which services provided
The taxable year in which services are treated as provided to customers shall not, in any manner, be determined by reference to—
(i)the period "&amp;"in which the customers’ meters are read, or
(ii)the period in which the taxpayer bills (or may bill) the customers for such service.
(i)Treatment of interest on frozen deposits in certain financial institutions
(1)In general
In the case of interest credit"&amp;"ed during any calendar year on a frozen deposit in a qualified financial institution, the amount of such interest includible in the gross income of a qualified individual shall not exceed the sum of—
(A)the net amount withdrawn by such individual from suc"&amp;"h deposit during such calendar year, and
(B)the amount of such deposit which is withdrawable as of the close of the taxable year (determined without regard to any penalty for premature withdrawals of a time deposit).
(2)Interest tested each year
Any inter"&amp;"est not included in gross income by reason of paragraph (1) shall be treated as credited in the next calendar year.
(3)Deferral of interest deduction
No deduction shall be allowed to any qualified financial institution for interest not includible in gros"&amp;"s income under paragraph (1) until such interest is includible in gross income.
(4)Frozen deposit
For purposes of this subsection, the term “frozen deposit” means any deposit if, as of the close of the calendar year, any portion of such deposit may not b"&amp;"e withdrawn because of—
(A)the bankruptcy or insolvency of the qualified financial institution (or threat thereof), or
(B)any requirement imposed by the State in which such institution is located by reason of the bankruptcy or insolvency (or threat thereo"&amp;"f) of 1 or more financial institutions in the State.
(5)Other definitions
For purposes of this subsection, the terms “qualified individual”, “qualified financial institution”, and “deposit” have the same respective meanings as when used in section 165(l)."&amp;"
(j)Special rule for cash options for receipt of qualified prizes
(1)In general
For purposes of this title, in the case of an individual on the cash receipts and disbursements method of accounting, a qualified prize option shall be disregarded in determi"&amp;"ning the taxable year for which any portion of the qualified prize is properly includible in gross income of the taxpayer.
(2)Qualified prize option; qualified prize
For purposes of this subsection—
(A)In general
The term “qualified prize option” means a"&amp;"n option which—
(i)entitles an individual to receive a single cash payment in lieu of receiving a qualified prize (or remaining portion thereof), and
(ii)is exercisable not later than 60 days after such individual becomes entitled to the qualified prize.
"&amp;"(B)Qualified prize
The term “qualified prize” means any prize or award which—
(i)is awarded as a part of a contest, lottery, jackpot, game, or other similar arrangement,
(ii)does not relate to any past services performed by the recipient and does not requ"&amp;"ire the recipient to perform any substantial future service, and
(iii)is payable over a period of at least 10 years.
(3)Partnership, etc.
The Secretary shall provide for the application of this subsection in the case of a partnership or other pass-through"&amp;" entity consisting entirely of individuals described in paragraph (1).
(k)Special rule for sales or dispositions to implement Federal Energy Regulatory Commission or State electric restructuring policy
(1)In general
In the case of any qualifying electric"&amp;" transmission transaction for which the taxpayer elects the application of this section, qualified gain from such transaction shall be recognized—
(A)in the taxable year which includes the date of such transaction to the extent the amount realized from su"&amp;"ch transaction exceeds—
(i)the cost of exempt utility property which is purchased by the taxpayer during the 4-year period beginning on such date, reduced (but not below zero) by
(ii)any portion of such cost previously taken into account under this subsec"&amp;"tion, and
(B)ratably over the 8-taxable year period beginning with the taxable year which includes the date of such transaction, in the case of any such gain not recognized under subparagraph (A).
(2)Qualified gain
For purposes of this subsection, the ter"&amp;"m “qualified gain” means, with respect to any qualifying electric transmission transaction in any taxable year—
(A)any ordinary income derived from such transaction which would be required to be recognized under section 1245 or 1250 for such taxable year "&amp;"(determined without regard to this subsection), and
(B)any income derived from such transaction in excess of the amount described in subparagraph (A) which is required to be included in gross income for such taxable year (determined without regard to this"&amp;" subsection).
(3)Qualifying electric transmission transaction
For purposes of this subsection, the term “qualifying electric transmission transaction” means any sale or other disposition before January 1, 2008 (before January 1, 2021, in the case of a qua"&amp;"lified electric utility), of—
(A)property used in the trade or business of providing electric transmission services, or
(B)any stock or partnership interest in a corporation or partnership, as the case may be, whose principal trade or business consists of"&amp;" providing electric transmission services,
but only if such sale or disposition is to an independent transmission company.
(4)Independent transmission company
For purposes of this subsection, the term “independent transmission company” means—
(A)an indepe"&amp;"ndent transmission provider approved by the Federal Energy Regulatory Commission,
(B)a person—
(i)who the Federal Energy Regulatory Commission determines in its authorization of the transaction under section 203 of the Federal Power Act (16 U.S.C. 824b) o"&amp;"r by declaratory order is not a market participant within the meaning of such Commission’s rules applicable to independent transmission providers, and
(ii)whose transmission facilities to which the election under this subsection applies are under the oper"&amp;"ational control of a Federal Energy Regulatory Commission-approved independent transmission provider before the close of the period specified in such authorization, but not later than the date which is 4 years after the close of the taxable year in which "&amp;"the transaction occurs, or
(C)in the case of facilities subject to the jurisdiction of the Public Utility Commission of Texas—
(i)a person which is approved by that Commission as consistent with Texas State law regarding an independent transmission provid"&amp;"er, or
(ii)a political subdivision or affiliate thereof whose transmission facilities are under the operational control of a person described in clause (i).
(5)Exempt utility property
For purposes of this subsection:
(A)In general
The term “exempt utility"&amp;" property” means property used in the trade or business of—
(i)generating, transmitting, distributing, or selling electricity, or
(ii)producing, transmitting, distributing, or selling natural gas.
(B)Nonrecognition of gain by reason of acquisition of stoc"&amp;"k
Acquisition of control of a corporation shall be taken into account under this subsection with respect to a qualifying electric transmission transaction only if the principal trade or business of such corporation is a trade or business referred to in su"&amp;"bparagraph (A).
(C)Exception for property located outside the United States
The term “exempt utility property” shall not include any property which is located outside the United States.
(6)Qualified electric utility
For purposes of this subsection, the "&amp;"term “qualified electric utility” means a person that, as of the date of the qualifying electric transmission transaction, is vertically integrated, in that it is both—
(A)a transmitting utility (as defined in section 3(23) of the Federal Power Act (16 U."&amp;"S.C. 796(23))) with respect to the transmission facilities to which the election under this subsection applies, and
(B)an electric utility (as defined in section 3(22) of the Federal Power Act (16 U.S.C. 796(22))).
(7)Special rule for consolidated groups
"&amp;"In the case of a corporation which is a member of an affiliated group filing a consolidated return, any exempt utility property purchased by another member of such group shall be treated as purchased by such corporation for purposes of applying paragraph "&amp;"(1)(A).
(8)Time for assessment of deficiencies
If the taxpayer has made the election under paragraph (1) and any gain is recognized by such taxpayer as provided in paragraph (1)(B), then—
(A)the statutory period for the assessment of any deficiency, for "&amp;"any taxable year in which any part of the gain on the transaction is realized, attributable to such gain shall not expire prior to the expiration of 3 years from the date the Secretary is notified by the taxpayer (in such manner as the Secretary may by re"&amp;"gulations prescribe) of the purchase of exempt utility property or of an intention not to purchase such property, and
(B)such deficiency may be assessed before the expiration of such 3-year period notwithstanding any law or rule of law which would otherwi"&amp;"se prevent such assessment.
(9)Purchase
For purposes of this subsection, the taxpayer shall be considered to have purchased any property if the unadjusted basis of such property is its cost within the meaning of section 1012.
(10)Election
An election und"&amp;"er paragraph (1) shall be made at such time and in such manner as the Secretary may require and, once made, shall be irrevocable.
(11)Nonapplication of installment sales treatment
Section 453 shall not apply to any qualifying electric transmission transa"&amp;"ction with respect to which an election to apply this subsection is made.
(Aug. 16, 1954, ch. 736, 68A Stat. 152; Pub. L. 89–97, title III, § 313(b), July 30, 1965, 79 Stat. 382; Pub. L. 91–172, title II, § 215(a), Dec. 30, 1969, 83 Stat. 573; Pub. L. 94"&amp;"–455, title XIX, § 1906(b)(13)(A), title XXI, §§ 2102(a), (b), 2141(a), Oct. 4, 1976, 90 Stat. 1834, 1900, 1933; Pub. L. 99–514, title VIII, § 821(a), title IX, § 905(b), Oct. 22, 1986, 100 Stat. 2372, 2386; Pub. L. 100–647, title I, § 1009(d)(3), title V"&amp;"I, §§ 6030(a), 6033(a), Nov. 10, 1988, 102 Stat. 3450, 3694, 3695; Pub. L. 105–34, title IX, § 913(a), Aug. 5, 1997, 111 Stat. 878; Pub. L. 105–277, div. J, title V, § 5301(a), Oct. 21, 1998, 112 Stat. 2681–918; Pub. L. 108–357, title III, § 311(c), title"&amp;" VIII, § 909(a), Oct. 22, 2004, 118 Stat. 1467, 1657; Pub. L. 109–58, title XIII, § 1305(a), (b), Aug. 8, 2005, 119 Stat. 997; Pub. L. 110–343, div. B, title I, § 109(a)–(c), Oct. 3, 2008, 122 Stat. 3821; Pub. L. 111–312, title VII, § 705(a), Dec. 17, 201"&amp;"0, 124 Stat. 3311; Pub. L. 112–240, title IV, § 411(a), Jan. 2, 2013, 126 Stat. 2343; Pub. L. 113–295, div. A, title I, § 159(a), Dec. 19, 2014, 128 Stat. 4022; Pub. L. 114–113, div. Q, title I, § 191(a), Dec. 18, 2015, 129 Stat. 3075; Pub. L. 115–97, tit"&amp;"le I, § 13221(a), (b), Dec. 22, 2017, 131 Stat. 2113, 2115; Pub. L. 115–123, div. D, title I, § 40414(a), Feb. 9, 2018, 132 Stat. 152; Pub. L. 116–94, div. Q, title I, § 132(a), Dec. 20, 2019, 133 Stat. 3233.)")</f>
        <v>(a)General rule
The amount of any item of gross income shall be included in the gross income for the taxable year in which received by the taxpayer, unless, under the method of accounting used in computing taxable income, such amount is to be properly accounted for as of a different period.
(b)Inclusion not later than for financial accounting purposes
(1)Income taken into account in financial statement
(A)In general
In the case of a taxpayer the taxable income of which is computed under an accrual method of accounting, the all events test with respect to any item of gross income (or portion thereof) shall not be treated as met any later than when such item (or portion thereof) is taken into account as revenue in—
(i)an applicable financial statement of the taxpayer, or
(ii)such other financial statement as the Secretary may specify for purposes of this subsection.
(B)Exception
This paragraph shall not apply to—
(i)a taxpayer which does not have a financial statement described in clause (i) or (ii) of subparagraph (A) for a taxable year, or
(ii)any item of gross income in connection with a mortgage servicing contract.
(C)All events test
For purposes of this section, the all events test is met with respect to any item of gross income if all the events have occurred which fix the right to receive such income and the amount of such income can be determined with reasonable accuracy.
(2)Coordination with special methods of accounting
Paragraph (1) shall not apply with respect to any item of gross income for which the taxpayer uses a special method of accounting provided under any other provision of this chapter, other than any provision of part V of subchapter P (except as provided in clause (ii) of paragraph (1)(B)).
(3)Applicable financial statement
For purposes of this subsection, the term “applicable financial statement” means—
(A)a financial statement which is certified as being prepared in accordance with generally accepted accounting principles and which is—
(i)a 10–K (or successor form), or annual statement to shareholders, required to be filed by the taxpayer with the United States Securities and Exchange Commission,
(ii)an audited financial statement of the taxpayer which is used for—
(I)credit purposes,
(II)reporting to shareholders, partners, or other proprietors, or to beneficiaries, or
(III)any other substantial nontax purpose,
 but only if there is no statement of the taxpayer described in clause (i), or
(iii)filed by the taxpayer with any other Federal agency for purposes other than Federal tax purposes, but only if there is no statement of the taxpayer described in clause (i) or (ii),
(B)a financial statement which is made on the basis of international financial reporting standards and is filed by the taxpayer with an agency of a foreign government which is equivalent to the United States Securities and Exchange Commission and which has reporting standards not less stringent than the standards required by such Commission, but only if there is no statement of the taxpayer described in subparagraph (A), or
(C)a financial statement filed by the taxpayer with any other regulatory or governmental body specified by the Secretary, but only if there is no statement of the taxpayer described in subparagraph (A) or (B).
(4)Allocation of transaction price
For purposes of this subsection, in the case of a contract which contains multiple performance obligations, the allocation of the transaction price to each performance obligation shall be equal to the amount allocated to each performance obligation for purposes of including such item in revenue in the applicable financial statement of the taxpayer.
(5)Group of entities
For purposes of paragraph (1), if the financial results of a taxpayer are reported on the applicable financial statement (as defined in paragraph (3)) for a group of entities, such statement shall be treated as the applicable financial statement of the taxpayer.
(c)Treatment of advance payments
(1)In general
A taxpayer which computes taxable income under the accrual method of accounting, and receives any advance payment during the taxable year, shall—
(A)except as provided in subparagraph (B), include such advance payment in gross income for such taxable year, or
(B)if the taxpayer elects the application of this subparagraph with respect to the category of advance payments to which such advance payment belongs, the taxpayer shall—
(i)to the extent that any portion of such advance payment is required under subsection (b) to be included in gross income in the taxable year in which such payment is received, so include such portion, and
(ii)include the remaining portion of such advance payment in gross income in the taxable year following the taxable year in which such payment is received.
(2)Election
(A)In general
Except as otherwise provided in this paragraph, the election under paragraph (1)(B) shall be made at such time, in such form and manner, and with respect to such categories of advance payments, as the Secretary may provide.
(B)Period to which election applies
An election under paragraph (1)(B) shall be effective for the taxable year with respect to which it is first made and for all subsequent taxable years, unless the taxpayer secures the consent of the Secretary to revoke such election. For purposes of this title, the computation of taxable income under an election made under paragraph (1)(B) shall be treated as a method of accounting.
(3)Taxpayers ceasing to exist
Except as otherwise provided by the Secretary, the election under paragraph (1)(B) shall not apply with respect to advance payments received by the taxpayer during a taxable year if such taxpayer ceases to exist during (or with the close of) such taxable year.
(4)Advance payment
For purposes of this subsection—
(A)In general
The term “advance payment” means any payment—
(i)the full inclusion of which in the gross income of the taxpayer for the taxable year of receipt is a permissible method of accounting under this section (determined without regard to this subsection),
(ii)any portion of which is included in revenue by the taxpayer in a financial statement described in clause (i) or (ii) of subsection (b)(1)(A) for a subsequent taxable year, and
(iii)which is for goods, services, or such other items as may be identified by the Secretary for purposes of this clause.
(B)Exclusions
Except as otherwise provided by the Secretary, such term shall not include—
(i)rent,
(ii)insurance premiums governed by subchapter L,
(iii)payments with respect to financial instruments,
(iv)payments with respect to warranty or guarantee contracts under which a third party is the primary obligor,
(v)payments subject to section 871(a), 881, 1441, or 1442,
(vi)payments in property to which section 83 applies, and
(vii)any other payment identified by the Secretary for purposes of this subparagraph.
(C)Receipt
For purposes of this subsection, an item of gross income is received by the taxpayer if it is actually or constructively received, or if it is due and payable to the taxpayer.
(D)Allocation of transaction price
For purposes of this subsection, rules similar to subsection (b)(4) shall apply.
(d)Special rule in case of death
In the case of the death of a taxpayer whose taxable income is computed under an accrual method of accounting, any amount accrued only by reason of the death of the taxpayer shall not be included in computing taxable income for the period in which falls the date of the taxpayer’s death.
(e)Special rule for employee tips
For purposes of subsection (a), tips included in a written statement furnished an employer by an employee pursuant to section 6053(a) shall be deemed to be received at the time the written statement including such tips is furnished to the employer.
(f)Special rule for crop insurance proceeds or disaster payments
In the case of insurance proceeds received as a result of destruction or damage to crops, a taxpayer reporting on the cash receipts and disbursements method of accounting may elect to include such proceeds in income for the taxable year following the taxable year of destruction or damage, if he establishes that, under his practice, income from such crops would have been reported in a following taxable year. For purposes of the preceding sentence, payments received under the Agricultural Act of 1949, as amended, or title II of the Disaster Assistance Act of 1988, as a result of (1) destruction or damage to crops caused by drought, flood, or any other natural disaster, or (2) the inability to plant crops because of such a natural disaster shall be treated as insurance proceeds received as a result of destruction or damage to crops. An election under this subsection for any taxable year shall be made at such time and in such manner as the Secretary prescribes.
(g)Special rule for proceeds from livestock sold on account of drought, flood, or other weather-related conditions
(1)In general
In the case of income derived from the sale or exchange of livestock in excess of the number the taxpayer would sell if he followed his usual business practices, a taxpayer reporting on the cash receipts and disbursements method of accounting may elect to include such income for the taxable year following the taxable year in which such sale or exchange occurs if he establishes that, under his usual business practices, the sale or exchange would not have occurred in the taxable year in which it occurred if it were not for drought, flood, or other weather-related conditions, and that such conditions had resulted in the area being designated as eligible for assistance by the Federal Government.
(2)Limitation
Paragraph (1) shall apply only to a taxpayer whose principal trade or business is farming (within the meaning of section 6420(c)(3)).
(3)Special election rules
If section 1033(e)(2) applies to a sale or exchange of livestock described in paragraph (1), the election under paragraph (1) shall be deemed valid if made during the replacement period described in such section.
(h)Special rule for utility services
(1)In general
In the case of a taxpayer the taxable income of which is computed under an accrual method of accounting, any income attributable to the sale or furnishing of utility services to customers shall be included in gross income not later than the taxable year in which such services are provided to such customers.
(2)Definition and special rule
For purposes of this subsection—
(A)Utility services
The term “utility services” includes—
(i)the providing of electrical energy, water, or sewage disposal,
(ii)the furnishing of gas or steam through a local distribution system,
(iii)telephone or other communication services, and
(iv)the transporting of gas or steam by pipeline.
(B)Year in which services provided
The taxable year in which services are treated as provided to customers shall not, in any manner, be determined by reference to—
(i)the period in which the customers’ meters are read, or
(ii)the period in which the taxpayer bills (or may bill) the customers for such service.
(i)Treatment of interest on frozen deposits in certain financial institutions
(1)In general
In the case of interest credited during any calendar year on a frozen deposit in a qualified financial institution, the amount of such interest includible in the gross income of a qualified individual shall not exceed the sum of—
(A)the net amount withdrawn by such individual from such deposit during such calendar year, and
(B)the amount of such deposit which is withdrawable as of the close of the taxable year (determined without regard to any penalty for premature withdrawals of a time deposit).
(2)Interest tested each year
Any interest not included in gross income by reason of paragraph (1) shall be treated as credited in the next calendar year.
(3)Deferral of interest deduction
No deduction shall be allowed to any qualified financial institution for interest not includible in gross income under paragraph (1) until such interest is includible in gross income.
(4)Frozen deposit
For purposes of this subsection, the term “frozen deposit” means any deposit if, as of the close of the calendar year, any portion of such deposit may not be withdrawn because of—
(A)the bankruptcy or insolvency of the qualified financial institution (or threat thereof), or
(B)any requirement imposed by the State in which such institution is located by reason of the bankruptcy or insolvency (or threat thereof) of 1 or more financial institutions in the State.
(5)Other definitions
For purposes of this subsection, the terms “qualified individual”, “qualified financial institution”, and “deposit” have the same respective meanings as when used in section 165(l).
(j)Special rule for cash options for receipt of qualified prizes
(1)In general
For purposes of this title, in the case of an individual on the cash receipts and disbursements method of accounting, a qualified prize option shall be disregarded in determining the taxable year for which any portion of the qualified prize is properly includible in gross income of the taxpayer.
(2)Qualified prize option; qualified prize
For purposes of this subsection—
(A)In general
The term “qualified prize option” means an option which—
(i)entitles an individual to receive a single cash payment in lieu of receiving a qualified prize (or remaining portion thereof), and
(ii)is exercisable not later than 60 days after such individual becomes entitled to the qualified prize.
(B)Qualified prize
The term “qualified prize” means any prize or award which—
(i)is awarded as a part of a contest, lottery, jackpot, game, or other similar arrangement,
(ii)does not relate to any past services performed by the recipient and does not require the recipient to perform any substantial future service, and
(iii)is payable over a period of at least 10 years.
(3)Partnership, etc.
The Secretary shall provide for the application of this subsection in the case of a partnership or other pass-through entity consisting entirely of individuals described in paragraph (1).
(k)Special rule for sales or dispositions to implement Federal Energy Regulatory Commission or State electric restructuring policy
(1)In general
In the case of any qualifying electric transmission transaction for which the taxpayer elects the application of this section, qualified gain from such transaction shall be recognized—
(A)in the taxable year which includes the date of such transaction to the extent the amount realized from such transaction exceeds—
(i)the cost of exempt utility property which is purchased by the taxpayer during the 4-year period beginning on such date, reduced (but not below zero) by
(ii)any portion of such cost previously taken into account under this subsection, and
(B)ratably over the 8-taxable year period beginning with the taxable year which includes the date of such transaction, in the case of any such gain not recognized under subparagraph (A).
(2)Qualified gain
For purposes of this subsection, the term “qualified gain” means, with respect to any qualifying electric transmission transaction in any taxable year—
(A)any ordinary income derived from such transaction which would be required to be recognized under section 1245 or 1250 for such taxable year (determined without regard to this subsection), and
(B)any income derived from such transaction in excess of the amount described in subparagraph (A) which is required to be included in gross income for such taxable year (determined without regard to this subsection).
(3)Qualifying electric transmission transaction
For purposes of this subsection, the term “qualifying electric transmission transaction” means any sale or other disposition before January 1, 2008 (before January 1, 2021, in the case of a qualified electric utility), of—
(A)property used in the trade or business of providing electric transmission services, or
(B)any stock or partnership interest in a corporation or partnership, as the case may be, whose principal trade or business consists of providing electric transmission services,
but only if such sale or disposition is to an independent transmission company.
(4)Independent transmission company
For purposes of this subsection, the term “independent transmission company” means—
(A)an independent transmission provider approved by the Federal Energy Regulatory Commission,
(B)a person—
(i)who the Federal Energy Regulatory Commission determines in its authorization of the transaction under section 203 of the Federal Power Act (16 U.S.C. 824b) or by declaratory order is not a market participant within the meaning of such Commission’s rules applicable to independent transmission providers, and
(ii)whose transmission facilities to which the election under this subsection applies are under the operational control of a Federal Energy Regulatory Commission-approved independent transmission provider before the close of the period specified in such authorization, but not later than the date which is 4 years after the close of the taxable year in which the transaction occurs, or
(C)in the case of facilities subject to the jurisdiction of the Public Utility Commission of Texas—
(i)a person which is approved by that Commission as consistent with Texas State law regarding an independent transmission provider, or
(ii)a political subdivision or affiliate thereof whose transmission facilities are under the operational control of a person described in clause (i).
(5)Exempt utility property
For purposes of this subsection:
(A)In general
The term “exempt utility property” means property used in the trade or business of—
(i)generating, transmitting, distributing, or selling electricity, or
(ii)producing, transmitting, distributing, or selling natural gas.
(B)Nonrecognition of gain by reason of acquisition of stock
Acquisition of control of a corporation shall be taken into account under this subsection with respect to a qualifying electric transmission transaction only if the principal trade or business of such corporation is a trade or business referred to in subparagraph (A).
(C)Exception for property located outside the United States
The term “exempt utility property” shall not include any property which is located outside the United States.
(6)Qualified electric utility
For purposes of this subsection, the term “qualified electric utility” means a person that, as of the date of the qualifying electric transmission transaction, is vertically integrated, in that it is both—
(A)a transmitting utility (as defined in section 3(23) of the Federal Power Act (16 U.S.C. 796(23))) with respect to the transmission facilities to which the election under this subsection applies, and
(B)an electric utility (as defined in section 3(22) of the Federal Power Act (16 U.S.C. 796(22))).
(7)Special rule for consolidated groups
In the case of a corporation which is a member of an affiliated group filing a consolidated return, any exempt utility property purchased by another member of such group shall be treated as purchased by such corporation for purposes of applying paragraph (1)(A).
(8)Time for assessment of deficiencies
If the taxpayer has made the election under paragraph (1) and any gain is recognized by such taxpayer as provided in paragraph (1)(B), then—
(A)the statutory period for the assessment of any deficiency, for any taxable year in which any part of the gain on the transaction is realized, attributable to such gain shall not expire prior to the expiration of 3 years from the date the Secretary is notified by the taxpayer (in such manner as the Secretary may by regulations prescribe) of the purchase of exempt utility property or of an intention not to purchase such property, and
(B)such deficiency may be assessed before the expiration of such 3-year period notwithstanding any law or rule of law which would otherwise prevent such assessment.
(9)Purchase
For purposes of this subsection, the taxpayer shall be considered to have purchased any property if the unadjusted basis of such property is its cost within the meaning of section 1012.
(10)Election
An election under paragraph (1) shall be made at such time and in such manner as the Secretary may require and, once made, shall be irrevocable.
(11)Nonapplication of installment sales treatment
Section 453 shall not apply to any qualifying electric transmission transaction with respect to which an election to apply this subsection is made.
(Aug. 16, 1954, ch. 736, 68A Stat. 152; Pub. L. 89–97, title III, § 313(b), July 30, 1965, 79 Stat. 382; Pub. L. 91–172, title II, § 215(a), Dec. 30, 1969, 83 Stat. 573; Pub. L. 94–455, title XIX, § 1906(b)(13)(A), title XXI, §§ 2102(a), (b), 2141(a), Oct. 4, 1976, 90 Stat. 1834, 1900, 1933; Pub. L. 99–514, title VIII, § 821(a), title IX, § 905(b), Oct. 22, 1986, 100 Stat. 2372, 2386; Pub. L. 100–647, title I, § 1009(d)(3), title VI, §§ 6030(a), 6033(a), Nov. 10, 1988, 102 Stat. 3450, 3694, 3695; Pub. L. 105–34, title IX, § 913(a), Aug. 5, 1997, 111 Stat. 878; Pub. L. 105–277, div. J, title V, § 5301(a), Oct. 21, 1998, 112 Stat. 2681–918; Pub. L. 108–357, title III, § 311(c), title VIII, § 909(a), Oct. 22, 2004, 118 Stat. 1467, 1657; Pub. L. 109–58, title XIII, § 1305(a), (b), Aug. 8, 2005, 119 Stat. 997; Pub. L. 110–343, div. B, title I, § 109(a)–(c), Oct. 3, 2008, 122 Stat. 3821; Pub. L. 111–312, title VII, § 705(a), Dec. 17, 2010, 124 Stat. 3311; Pub. L. 112–240, title IV, § 411(a), Jan. 2, 2013, 126 Stat. 2343; Pub. L. 113–295, div. A, title I, § 159(a), Dec. 19, 2014, 128 Stat. 4022; Pub. L. 114–113, div. Q, title I, § 191(a), Dec. 18, 2015, 129 Stat. 3075; Pub. L. 115–97, title I, § 13221(a), (b), Dec. 22, 2017, 131 Stat. 2113, 2115; Pub. L. 115–123, div. D, title I, § 40414(a), Feb. 9, 2018, 132 Stat. 152; Pub. L. 116–94, div. Q, title I, § 132(a), Dec. 20, 2019, 133 Stat. 3233.)</v>
      </c>
      <c r="M12" s="4" t="str">
        <f>IFERROR(__xludf.DUMMYFUNCTION("""COMPUTED_VALUE"""),"Accrual-method businesses must recognize advance payments upon receipt or elect to defer a portion to the following year.")</f>
        <v>Accrual-method businesses must recognize advance payments upon receipt or elect to defer a portion to the following year.</v>
      </c>
      <c r="N12" s="4" t="str">
        <f>IFERROR(__xludf.DUMMYFUNCTION("""COMPUTED_VALUE"""),"Industries: [Software, Construction, Professional Services] | Entities: [C Corporations, S Corporations, Partnerships]")</f>
        <v>Industries: [Software, Construction, Professional Services] | Entities: [C Corporations, S Corporations, Partnerships]</v>
      </c>
      <c r="O12" s="4" t="str">
        <f>IFERROR(__xludf.DUMMYFUNCTION("""COMPUTED_VALUE"""),"Deferred Revenue Account Balance, Unearned Income Account, Customer Deposits, Prepaid Subscriptions, Billing Schedules")</f>
        <v>Deferred Revenue Account Balance, Unearned Income Account, Customer Deposits, Prepaid Subscriptions, Billing Schedules</v>
      </c>
      <c r="P12" s="4" t="str">
        <f>IFERROR(__xludf.DUMMYFUNCTION("""COMPUTED_VALUE"""),"🚨 Important: Section 451 Advance Payment Update for [Entity]
How this affects you::
Under IRC §451, your [Advance_Payment] in advance payments must be carefully tracked. By electing the deferral method, you can recognize [Recognized_This_Year] this year"&amp;" and defer [Deferred_Amount] to the following year. This creates a [Tax_Timing] book-tax timing difference involving [Cash_Flow_Impact] that affects your current tax liability and [Working_Capital] in working capital.
✅ Perform a year-end revenue cutoff "&amp;"review to identify all advance payments
✅ Ensure deferred revenue tracking is properly configured in QuickBooks
✅ Consult your CPA to formally elect the one-year deferral method
📚 Source: IRC Section 451
⚠️ Disclaimer: This template is for informationa"&amp;"l purposes only. Tax laws are subject to change and individual circumstances vary. Please consult with a qualified tax professional to confirm eligibility and compliance for your specific entity.")</f>
        <v>🚨 Important: Section 451 Advance Payment Update for [Entity]
How this affects you::
Under IRC §451, your [Advance_Payment] in advance payments must be carefully tracked. By electing the deferral method, you can recognize [Recognized_This_Year] this year and defer [Deferred_Amount] to the following year. This creates a [Tax_Timing] book-tax timing difference involving [Cash_Flow_Impact] that affects your current tax liability and [Working_Capital] in working capital.
✅ Perform a year-end revenue cutoff review to identify all advance payments
✅ Ensure deferred revenue tracking is properly configured in QuickBooks
✅ Consult your CPA to formally elect the one-year deferral method
📚 Source: IRC Section 451
⚠️ Disclaimer: This template is for informational purposes only. Tax laws are subject to change and individual circumstances vary. Please consult with a qualified tax professional to confirm eligibility and compliance for your specific entity.</v>
      </c>
      <c r="Q12" s="4" t="str">
        <f>IFERROR(__xludf.DUMMYFUNCTION("""COMPUTED_VALUE"""),"Section 451 requires you to pay taxes on unearned cash upfront unless deferred, which can temporarily squeeze your working capital.")</f>
        <v>Section 451 requires you to pay taxes on unearned cash upfront unless deferred, which can temporarily squeeze your working capital.</v>
      </c>
      <c r="R12" s="18" t="str">
        <f>IFERROR(__xludf.DUMMYFUNCTION("""COMPUTED_VALUE"""),"https://www.law.cornell.edu/uscode/text/26/451")</f>
        <v>https://www.law.cornell.edu/uscode/text/26/451</v>
      </c>
      <c r="S12" s="19">
        <f>IFERROR(__xludf.DUMMYFUNCTION("""COMPUTED_VALUE"""),46023.0)</f>
        <v>46023</v>
      </c>
      <c r="T12" s="4" t="str">
        <f>IFERROR(__xludf.DUMMYFUNCTION("""COMPUTED_VALUE"""),"ACTIVE")</f>
        <v>ACTIVE</v>
      </c>
      <c r="U12" s="4"/>
      <c r="V12" s="4"/>
      <c r="W12" s="4"/>
      <c r="X12" s="4"/>
      <c r="Y12" s="4"/>
      <c r="Z12" s="4"/>
    </row>
    <row r="13">
      <c r="A13" s="13" t="s">
        <v>42</v>
      </c>
      <c r="B13" s="13" t="s">
        <v>43</v>
      </c>
      <c r="C13" s="4" t="s">
        <v>177</v>
      </c>
      <c r="D13" s="4" t="s">
        <v>178</v>
      </c>
      <c r="E13" s="4" t="s">
        <v>179</v>
      </c>
      <c r="F13" s="1" t="s">
        <v>180</v>
      </c>
      <c r="G13" s="4" t="s">
        <v>181</v>
      </c>
      <c r="H13" s="16" t="s">
        <v>182</v>
      </c>
      <c r="I13" s="17">
        <v>46023.0</v>
      </c>
      <c r="J13" s="1" t="s">
        <v>128</v>
      </c>
      <c r="K13" s="4" t="str">
        <f>IFERROR(__xludf.DUMMYFUNCTION("""COMPUTED_VALUE"""),"§280A")</f>
        <v>§280A</v>
      </c>
      <c r="L13" s="4" t="str">
        <f>IFERROR(__xludf.DUMMYFUNCTION("""COMPUTED_VALUE"""),"Section 280A limits deductions for expenses related to the business use of a home. To deduct expenses, a portion of the home must be used exclusively and regularly as the principal place of business. Taxpayers can use the regular method (actual expenses b"&amp;"ased on percentage of home used) or the simplified method ($5 per square foot, up to 300 square feet).")</f>
        <v>Section 280A limits deductions for expenses related to the business use of a home. To deduct expenses, a portion of the home must be used exclusively and regularly as the principal place of business. Taxpayers can use the regular method (actual expenses based on percentage of home used) or the simplified method ($5 per square foot, up to 300 square feet).</v>
      </c>
      <c r="M13" s="4" t="str">
        <f>IFERROR(__xludf.DUMMYFUNCTION("""COMPUTED_VALUE"""),"Section 280A requires exclusive, regular use for home office deductions via simplified or regular expense methods.")</f>
        <v>Section 280A requires exclusive, regular use for home office deductions via simplified or regular expense methods.</v>
      </c>
      <c r="N13" s="4" t="str">
        <f>IFERROR(__xludf.DUMMYFUNCTION("""COMPUTED_VALUE"""),"Industries: [Professional Services, Software Development, E-commerce, Consulting, Freelance] | Entities: [S Corporations, Partnerships, Sole Proprietorships]")</f>
        <v>Industries: [Professional Services, Software Development, E-commerce, Consulting, Freelance] | Entities: [S Corporations, Partnerships, Sole Proprietorships]</v>
      </c>
      <c r="O13" s="4" t="str">
        <f>IFERROR(__xludf.DUMMYFUNCTION("""COMPUTED_VALUE"""),"Home Office Square Footage, Total Home Square Footage, Rent, Mortgage Interest, Property Taxes, Utilities (Electricity, Gas, Water), Home Insurance, Repairs and Maintenance, Home Office Expense Category, Transaction Date, Amount, Vendor, Business Percenta"&amp;"ge Allocation, Journal Entry (for owners draws/contributions)")</f>
        <v>Home Office Square Footage, Total Home Square Footage, Rent, Mortgage Interest, Property Taxes, Utilities (Electricity, Gas, Water), Home Insurance, Repairs and Maintenance, Home Office Expense Category, Transaction Date, Amount, Vendor, Business Percentage Allocation, Journal Entry (for owners draws/contributions)</v>
      </c>
      <c r="P13" s="4" t="str">
        <f>IFERROR(__xludf.DUMMYFUNCTION("""COMPUTED_VALUE"""),"🚨 Important: Home Office Deduction Update for [Entity]
How this affects you::
Maximize your savings by choosing the best deduction method for your \[Square\_Footage\] sq. ft. home office. Based on your \[Home\_Office\_Expense\], you can compare the Simp"&amp;"lified Method ($5/sq. ft. up to $1,500) against the Regular Method (actual expenses like rent and utilities). Using the \[Method\], your estimated [Deductible_Amount] can significantly lower your taxable income.
✅ Verify the home office space is used exc"&amp;"lusively and regularly for your business
✅ Maintain accurate records of your total home and office square footage
✅ Review both calculation methods annually to ensure you select the highest deduction
📚 Source: IRC Section 280A
⚠️ Disclaimer: This templ"&amp;"ate is for informational purposes only. Tax laws are subject to change and individual circumstances vary. Please consult with a qualified tax professional to confirm eligibility and compliance for your specific entity.")</f>
        <v>🚨 Important: Home Office Deduction Update for [Entity]
How this affects you::
Maximize your savings by choosing the best deduction method for your \[Square\_Footage\] sq. ft. home office. Based on your \[Home\_Office\_Expense\], you can compare the Simplified Method ($5/sq. ft. up to $1,500) against the Regular Method (actual expenses like rent and utilities). Using the \[Method\], your estimated [Deductible_Amount] can significantly lower your taxable income.
✅ Verify the home office space is used exclusively and regularly for your business
✅ Maintain accurate records of your total home and office square footage
✅ Review both calculation methods annually to ensure you select the highest deduction
📚 Source: IRC Section 280A
⚠️ Disclaimer: This template is for informational purposes only. Tax laws are subject to change and individual circumstances vary. Please consult with a qualified tax professional to confirm eligibility and compliance for your specific entity.</v>
      </c>
      <c r="Q13" s="4" t="str">
        <f>IFERROR(__xludf.DUMMYFUNCTION("""COMPUTED_VALUE"""),"IRC Section 280A improves after-tax net profit margins by allowing qualifying home-office costs to be deducted as business operating expenses, which reduces taxable income and lowers your overall tax liability.")</f>
        <v>IRC Section 280A improves after-tax net profit margins by allowing qualifying home-office costs to be deducted as business operating expenses, which reduces taxable income and lowers your overall tax liability.</v>
      </c>
      <c r="R13" s="18" t="str">
        <f>IFERROR(__xludf.DUMMYFUNCTION("""COMPUTED_VALUE"""),"https://www.law.cornell.edu/uscode/text/26/280A")</f>
        <v>https://www.law.cornell.edu/uscode/text/26/280A</v>
      </c>
      <c r="S13" s="19">
        <f>IFERROR(__xludf.DUMMYFUNCTION("""COMPUTED_VALUE"""),46023.0)</f>
        <v>46023</v>
      </c>
      <c r="T13" s="4" t="str">
        <f>IFERROR(__xludf.DUMMYFUNCTION("""COMPUTED_VALUE"""),"ACTIVE")</f>
        <v>ACTIVE</v>
      </c>
      <c r="U13" s="4"/>
      <c r="V13" s="4"/>
      <c r="W13" s="4"/>
      <c r="X13" s="4"/>
      <c r="Y13" s="4"/>
      <c r="Z13" s="4"/>
    </row>
    <row r="14">
      <c r="A14" s="13" t="s">
        <v>45</v>
      </c>
      <c r="B14" s="13" t="s">
        <v>46</v>
      </c>
      <c r="C14" s="4" t="s">
        <v>183</v>
      </c>
      <c r="D14" s="4" t="s">
        <v>184</v>
      </c>
      <c r="E14" s="4" t="s">
        <v>185</v>
      </c>
      <c r="F14" s="1" t="s">
        <v>186</v>
      </c>
      <c r="G14" s="4" t="s">
        <v>187</v>
      </c>
      <c r="H14" s="16" t="s">
        <v>188</v>
      </c>
      <c r="I14" s="17">
        <v>46023.0</v>
      </c>
      <c r="J14" s="1" t="s">
        <v>128</v>
      </c>
      <c r="K14" s="4" t="str">
        <f>IFERROR(__xludf.DUMMYFUNCTION("""COMPUTED_VALUE"""),"§132")</f>
        <v>§132</v>
      </c>
      <c r="L14" s="4" t="str">
        <f>IFERROR(__xludf.DUMMYFUNCTION("""COMPUTED_VALUE"""),"Section 132 excludes certain fringe benefits from an employee's gross income, including no-additional-cost services, qualified employee discounts, working condition fringes, de minimis fringes, and qualified transportation fringes. These benefits are not "&amp;"subject to federal income tax withholding or FICA taxes.")</f>
        <v>Section 132 excludes certain fringe benefits from an employee's gross income, including no-additional-cost services, qualified employee discounts, working condition fringes, de minimis fringes, and qualified transportation fringes. These benefits are not subject to federal income tax withholding or FICA taxes.</v>
      </c>
      <c r="M14" s="4" t="str">
        <f>IFERROR(__xludf.DUMMYFUNCTION("""COMPUTED_VALUE"""),"Section 132 excludes specific employer-provided fringe benefits from an employee's gross income and payroll taxes.")</f>
        <v>Section 132 excludes specific employer-provided fringe benefits from an employee's gross income and payroll taxes.</v>
      </c>
      <c r="N14" s="4" t="str">
        <f>IFERROR(__xludf.DUMMYFUNCTION("""COMPUTED_VALUE"""),"Industries: [Retail, Hospitality, Transportation, Professional Services, Healthcare] | Entities: [Corporations, Partnerships, Limited Liability Companies]")</f>
        <v>Industries: [Retail, Hospitality, Transportation, Professional Services, Healthcare] | Entities: [Corporations, Partnerships, Limited Liability Companies]</v>
      </c>
      <c r="O14" s="4" t="str">
        <f>IFERROR(__xludf.DUMMYFUNCTION("""COMPUTED_VALUE"""),"Payroll Item List, Employee Profile (Additional Pay Types), Employee Profile (Deductions and Contributions), Chart of Accounts (Expense and Liability Accounts), Payroll Summary Report, Payroll Liability Report, General Ledger, Taxable Wage Audit Report")</f>
        <v>Payroll Item List, Employee Profile (Additional Pay Types), Employee Profile (Deductions and Contributions), Chart of Accounts (Expense and Liability Accounts), Payroll Summary Report, Payroll Liability Report, General Ledger, Taxable Wage Audit Report</v>
      </c>
      <c r="P14" s="4" t="str">
        <f>IFERROR(__xludf.DUMMYFUNCTION("""COMPUTED_VALUE"""),"🚨 Important: Fringe Benefit Tax Exclusion Update for [Entity]
How this affects you::
Based on your provided \[Benefit\_Type\] valued at \[Benefit\_Amount\], these benefits may be excluded from your employees' gross income. Under IRC Section 132, qualifi"&amp;"ed fringe benefits—such as de minimis gifts, employee discounts, and transportation fringes—are not subject to federal income tax withholding or FICA taxes, reducing the overall tax burden for both the employer and employee.
✅ Review payroll records to i"&amp;"dentify all \[Benefit\_Type\] expenses provided to employees
✅ Verify that excluded benefits are correctly omitted from Form W-2 taxable wages
✅ Ensure all fringe benefit transactions are accurately tagged in QuickBooks for audit readiness
📚 Source: IRC"&amp;" Section 132
⚠️ Disclaimer: This template is for informational purposes only. Tax laws are subject to change and individual circumstances vary. Please consult with a qualified tax professional to confirm eligibility and compliance for your specific entit"&amp;"y.")</f>
        <v>🚨 Important: Fringe Benefit Tax Exclusion Update for [Entity]
How this affects you::
Based on your provided \[Benefit\_Type\] valued at \[Benefit\_Amount\], these benefits may be excluded from your employees' gross income. Under IRC Section 132, qualified fringe benefits—such as de minimis gifts, employee discounts, and transportation fringes—are not subject to federal income tax withholding or FICA taxes, reducing the overall tax burden for both the employer and employee.
✅ Review payroll records to identify all \[Benefit\_Type\] expenses provided to employees
✅ Verify that excluded benefits are correctly omitted from Form W-2 taxable wages
✅ Ensure all fringe benefit transactions are accurately tagged in QuickBooks for audit readiness
📚 Source: IRC Section 132
⚠️ Disclaimer: This template is for informational purposes only. Tax laws are subject to change and individual circumstances vary. Please consult with a qualified tax professional to confirm eligibility and compliance for your specific entity.</v>
      </c>
      <c r="Q14" s="4" t="str">
        <f>IFERROR(__xludf.DUMMYFUNCTION("""COMPUTED_VALUE"""),"IRC Section 132 improves your cash flow and lowers payroll tax ratios by exempting qualified fringe benefits from Social Security and Medicare taxes, reducing the total tax burden for both the company and its employees.")</f>
        <v>IRC Section 132 improves your cash flow and lowers payroll tax ratios by exempting qualified fringe benefits from Social Security and Medicare taxes, reducing the total tax burden for both the company and its employees.</v>
      </c>
      <c r="R14" s="18" t="str">
        <f>IFERROR(__xludf.DUMMYFUNCTION("""COMPUTED_VALUE"""),"https://www.law.cornell.edu/uscode/text/26/132")</f>
        <v>https://www.law.cornell.edu/uscode/text/26/132</v>
      </c>
      <c r="S14" s="19">
        <f>IFERROR(__xludf.DUMMYFUNCTION("""COMPUTED_VALUE"""),46023.0)</f>
        <v>46023</v>
      </c>
      <c r="T14" s="4" t="str">
        <f>IFERROR(__xludf.DUMMYFUNCTION("""COMPUTED_VALUE"""),"ACTIVE")</f>
        <v>ACTIVE</v>
      </c>
      <c r="U14" s="4"/>
      <c r="V14" s="4"/>
      <c r="W14" s="4"/>
      <c r="X14" s="4"/>
      <c r="Y14" s="4"/>
      <c r="Z14" s="4"/>
    </row>
    <row r="15">
      <c r="A15" s="13" t="s">
        <v>48</v>
      </c>
      <c r="B15" s="13" t="s">
        <v>49</v>
      </c>
      <c r="C15" s="4" t="s">
        <v>189</v>
      </c>
      <c r="D15" s="4" t="s">
        <v>190</v>
      </c>
      <c r="E15" s="4" t="s">
        <v>191</v>
      </c>
      <c r="F15" s="1" t="s">
        <v>192</v>
      </c>
      <c r="G15" s="4" t="s">
        <v>193</v>
      </c>
      <c r="H15" s="16" t="s">
        <v>194</v>
      </c>
      <c r="I15" s="17">
        <v>46023.0</v>
      </c>
      <c r="J15" s="1" t="s">
        <v>128</v>
      </c>
      <c r="K15" s="4" t="str">
        <f>IFERROR(__xludf.DUMMYFUNCTION("""COMPUTED_VALUE"""),"§162(m)")</f>
        <v>§162(m)</v>
      </c>
      <c r="L15" s="4" t="str">
        <f>IFERROR(__xludf.DUMMYFUNCTION("""COMPUTED_VALUE"""),"(m)Certain excessive employee remuneration
(1)In general
In the case of any publicly held corporation, no deduction shall be allowed under this chapter for applicable employee remuneration with respect to any covered employee to the extent that the amount"&amp;" of such remuneration for the taxable year with respect to such employee exceeds $1,000,000.
(2)Publicly held corporation
For purposes of this subsection, the term “publicly held corporation” means any corporation which is an issuer (as defined in sectio"&amp;"n 3 of the Securities Exchange Act of 1934 (15 U.S.C. 78c))—
(A)the securities of which are required to be registered under section 12 of such Act (15 U.S.C. 78l), or
(B)that is required to file reports under section 15(d) of such Act (15 U.S.C. 78o(d)).
"&amp;"(3)Covered employee
For purposes of this subsection, the term “covered employee” means any employee of the taxpayer if—
(A)such employee is the principal executive officer or principal financial officer of the taxpayer at any time during the taxable year,"&amp;" or was an individual acting in such a capacity,
(B)the total compensation of such employee for the taxable year is required to be reported to shareholders under the Securities Exchange Act of 1934 by reason of such employee being among the 3 highest comp"&amp;"ensated officers for the taxable year (other than any individual described in subparagraph (A)),
(C)in the case of taxable years beginning after December 31, 2026, such employee is among the 5 highest compensated employees for the taxable year other than "&amp;"any individual described in subparagraph (A) or (B), or
(D)was a covered employee described in subparagraph (A) or (B) of the taxpayer (or any predecessor) for any preceding taxable year beginning after December 31, 2016.
Such term shall include any emplo"&amp;"yee who would be described in subparagraph (B) if the reporting described in such subparagraph were required as so described.
(4)Applicable employee remuneration
For purposes of this subsection—
(A)In general
Except as otherwise provided in this paragraph"&amp;", the term “applicable employee remuneration” means, with respect to any covered employee for any taxable year, the aggregate amount allowable as a deduction under this chapter for such taxable year (determined without regard to this subsection) for remun"&amp;"eration for services performed by such employee (whether or not during the taxable year).
(B)Exception for existing binding contracts
The term “applicable employee remuneration” shall not include any remuneration payable under a written binding contract "&amp;"which was in effect on February 17, 1993, and which was not modified thereafter in any material respect before such remuneration is paid.
(C)Remuneration
For purposes of this paragraph, the term “remuneration” includes any remuneration (including benefit"&amp;"s) in any medium other than cash, but shall not include—
(i)any payment referred to in so much of section 3121(a)(5) as precedes subparagraph (E) thereof, and
(ii)any benefit provided to or on behalf of an employee if at the time such benefit is provided "&amp;"it is reasonable to believe that the employee will be able to exclude such benefit from gross income under this chapter.
For purposes of clause (i), section 3121(a)(5) shall be applied without regard to section 3121(v)(1).
(D)Coordination with disallowed "&amp;"golden parachute payments
The dollar limitation contained in paragraph (1) shall be reduced (but not below zero) by the amount (if any) which would have been included in the applicable employee remuneration of the covered employee for the taxable year but"&amp;" for being disallowed under section 280G.
(E)Coordination with excise tax on specified stock compensation
The dollar limitation contained in paragraph (1) with respect to any covered employee shall be reduced (but not below zero) by the amount of any pay"&amp;"ment (with respect to such employee) of the tax imposed by section 4985 directly or indirectly by the expatriated corporation (as defined in such section) or by any member of the expanded affiliated group (as defined in such section) which includes such c"&amp;"orporation.
(F)Special rule for remuneration paid to beneficiaries, etc.
Remuneration shall not fail to be applicable employee remuneration merely because it is includible in the income of, or paid to, a person other than the covered employee, including "&amp;"after the death of the covered employee.
(5)Special rule for application to employers participating in the Troubled Assets Relief Program
(A)In general
In the case of an applicable employer, no deduction shall be allowed under this chapter—
(i)in the cas"&amp;"e of executive remuneration for any applicable taxable year which is attributable to services performed by a covered executive during such applicable taxable year, to the extent that the amount of such remuneration exceeds $500,000, or
(ii)in the case of "&amp;"deferred deduction executive remuneration for any taxable year for services performed during any applicable taxable year by a covered executive, to the extent that the amount of such remuneration exceeds $500,000 reduced (but not below zero) by the sum of"&amp;"—
(I)the executive remuneration for such applicable taxable year, plus
(II)the portion of the deferred deduction executive remuneration for such services which was taken into account under this clause in a preceding taxable year.
(B)Applicable employer
Fo"&amp;"r purposes of this paragraph—
(i)In general
Except as provided in clause (ii), the term “applicable employer” means any employer from whom 1 or more troubled assets are acquired under a program established by the Secretary under section 101(a) of the Emer"&amp;"gency Economic Stabilization Act of 2008 if the aggregate amount of the assets so acquired for all taxable years exceeds $300,000,000.
(ii)Disregard of certain assets sold through direct purchase
If the only sales of troubled assets by an employer under "&amp;"the program described in clause (i) are through 1 or more direct purchases (within the meaning of section 113(c) of the Emergency Economic Stabilization Act of 2008), such assets shall not be taken into account under clause (i) in determining whether the "&amp;"employer is an applicable employer for purposes of this paragraph.
(iii)Aggregation rules
Two or more persons who are treated as a single employer under subsection (b) or (c) of section 414 shall be treated as a single employer, except that in applying s"&amp;"ection 1563(a) for purposes of either such subsection, paragraphs (2) and (3) thereof shall be disregarded.
(C)Applicable taxable year
For purposes of this paragraph, the term “applicable taxable year” means, with respect to any employer—
(i)the first ta"&amp;"xable year of the employer—
(I)which includes any portion of the period during which the authorities under section 101(a) of the Emergency Economic Stabilization Act of 2008 are in effect (determined under section 120 thereof), and
(II)in which the aggreg"&amp;"ate amount of troubled assets acquired from the employer during the taxable year pursuant to such authorities (other than assets to which subparagraph (B)(ii) applies), when added to the aggregate amount so acquired for all preceding taxable years, exceed"&amp;"s $300,000,000, and
(ii)any subsequent taxable year which includes any portion of such period.
(D)Covered executive
For purposes of this paragraph—
(i)In general
The term “covered executive” means, with respect to any applicable taxable year, any employee"&amp;"—
(I)who, at any time during the portion of the taxable year during which the authorities under section 101(a) of the Emergency Economic Stabilization Act of 2008 are in effect (determined under section 120 thereof), is the chief executive officer of the "&amp;"applicable employer or the chief financial officer of the applicable employer, or an individual acting in either such capacity, or
(II)who is described in clause (ii).
(ii)Highest compensated employees
An employee is described in this clause if the employ"&amp;"ee is 1 of the 3 highest compensated officers of the applicable employer for the taxable year (other than an individual described in clause (i)(I)), determined—
(I)on the basis of the shareholder disclosure rules for compensation under the Securities Exch"&amp;"ange Act of 1934 (without regard to whether those rules apply to the employer), and
(II)by only taking into account employees employed during the portion of the taxable year described in clause (i)(I).
(iii)Employee remains covered executive
If an employe"&amp;"e is a covered executive with respect to an applicable employer for any applicable taxable year, such employee shall be treated as a covered executive with respect to such employer for all subsequent applicable taxable years and for all subsequent taxable"&amp;" years in which deferred deduction executive remuneration with respect to services performed in all such applicable taxable years would (but for this paragraph) be deductible.
(E)Executive remuneration
For purposes of this paragraph, the term “executive "&amp;"remuneration” means the applicable employee remuneration of the covered executive, as determined under paragraph (4) without regard to subparagraph (B) thereof. Such term shall not include any deferred deduction executive remuneration with respect to serv"&amp;"ices performed in a prior applicable taxable year.
(F)Deferred deduction executive remuneration
For purposes of this paragraph, the term “deferred deduction executive remuneration” means remuneration which would be executive remuneration for services per"&amp;"formed in an applicable taxable year but for the fact that the deduction under this chapter (determined without regard to this paragraph) for such remuneration is allowable in a subsequent taxable year.
(G)Coordination
Rules similar to the rules of subpa"&amp;"ragraphs (D) and (E) of paragraph (4) shall apply for purposes of this paragraph.
(H)Regulatory authority
The Secretary may prescribe such guidance, rules, or regulations as are necessary to carry out the purposes of this paragraph and the Emergency Econ"&amp;"omic Stabilization Act of 2008, including the extent to which this paragraph applies in the case of any acquisition, merger, or reorganization of an applicable employer.
(6)Special rule for application to certain health insurance providers
(A)In general
"&amp;"No deduction shall be allowed under this chapter—
(i)in the case of applicable individual remuneration which is for any disqualified taxable year beginning after December 31, 2012, and which is attributable to services performed by an applicable individua"&amp;"l during such taxable year, to the extent that the amount of such remuneration exceeds $500,000, or
(ii)in the case of deferred deduction remuneration for any taxable year beginning after December 31, 2012, which is attributable to services performed by a"&amp;"n applicable individual during any disqualified taxable year beginning after December 31, 2009, to the extent that the amount of such remuneration exceeds $500,000 reduced (but not below zero) by the sum of—
(I)the applicable individual remuneration for s"&amp;"uch disqualified taxable year, plus
(II)the portion of the deferred deduction remuneration for such services which was taken into account under this clause in a preceding taxable year (or which would have been taken into account under this clause in a pre"&amp;"ceding taxable year if this clause were applied by substituting “December 31, 2009” for “December 31, 2012” in the matter preceding subclause (I)).
(B)Disqualified taxable year
For purposes of this paragraph, the term “disqualified taxable year” means, wi"&amp;"th respect to any employer, any taxable year for which such employer is a covered health insurance provider.
(C)Covered health insurance provider
For purposes of this paragraph—
(i)In general
The term “covered health insurance provider” means—
(I)with re"&amp;"spect to taxable years beginning after December 31, 2009, and before January 1, 2013, any employer which is a health insurance issuer (as defined in section 9832(b)(2)) and which receives premiums from providing health insurance coverage (as defined in se"&amp;"ction 9832(b)(1)), and
(II)with respect to taxable years beginning after December 31, 2012, any employer which is a health insurance issuer (as defined in section 9832(b)(2)) and with respect to which not less than 25 percent of the gross premiums receive"&amp;"d from providing health insurance coverage (as defined in section 9832(b)(1)) is from minimum essential coverage (as defined in section 5000A(f)).
(ii)Aggregation rules
Two or more persons who are treated as a single employer under subsection (b), (c), (m"&amp;"), or (o) of section 414 shall be treated as a single employer, except that in applying section 1563(a) for purposes of any such subsection, paragraphs (2) and (3) thereof shall be disregarded.
(D)Applicable individual remuneration
For purposes of this p"&amp;"aragraph, the term “applicable individual remuneration” means, with respect to any applicable individual for any disqualified taxable year, the aggregate amount allowable as a deduction under this chapter for such taxable year (determined without regard t"&amp;"o this subsection) for remuneration (as defined in paragraph (4) without regard to subparagraph (B) thereof) for services performed by such individual (whether or not during the taxable year). Such term shall not include any deferred deduction remuneratio"&amp;"n with respect to services performed during the disqualified taxable year.
(E)Deferred deduction remuneration
For purposes of this paragraph, the term “deferred deduction remuneration” means remuneration which would be applicable individual remuneration "&amp;"for services performed in a disqualified taxable year but for the fact that the deduction under this chapter (determined without regard to this paragraph) for such remuneration is allowable in a subsequent taxable year.
(F)Applicable individual
For purpo"&amp;"ses of this paragraph, the term “applicable individual” means, with respect to any covered health insurance provider for any disqualified taxable year, any individual—
(i)who is an officer, director, or employee in such taxable year, or
(ii)who provides s"&amp;"ervices for or on behalf of such covered health insurance provider during such taxable year.
(G)Coordination
Rules similar to the rules of subparagraphs (D) and (E) of paragraph (4) shall apply for purposes of this paragraph.
(H)Regulatory authority
The "&amp;"Secretary may prescribe such guidance, rules, or regulations as are necessary to carry out the purposes of this paragraph.
(7)Remuneration from controlled group members
(A)In general
In the case of any publicly held corporation which is a member of a con"&amp;"trolled group—
(i)paragraph (1) shall be applied by substituting “specified covered employee” for “covered employee”, and
(ii)if any person which is a member of such controlled group (other than such publicly held corporation) provides applicable employee"&amp;" remuneration to an individual who is a specified covered employee of such controlled group and the aggregate amount described in subparagraph (B)(ii) with respect to such specified covered employee exceeds $1,000,000—
(I)paragraph (1) shall apply to such"&amp;" person with respect to such remuneration, and
(II)paragraph (1) shall apply to such publicly held corporation and to each such related person by substituting “the allocable limitation amount” for “$1,000,000”.
(B)Allocable limitation amount
For purposes "&amp;"of this paragraph, the term “allocable limitation amount” means, with respect to any member of the controlled group referred to in subparagraph (A) with respect to any specified covered employee of such controlled group, the amount which bears the same ra"&amp;"tio to $1,000,000 as—
(i)the amount of applicable employee remuneration provided by such member with respect to such specified covered employee, bears to
(ii)the aggregate amount of applicable employee remuneration provided by all such members with respec"&amp;"t to such specified covered employee.
(C)Specified covered employee
For purposes of this paragraph, the term “specified covered employee” means, with respect to any controlled group—
(i)any employee described in subparagraph (A), (B), or (D) of paragraph "&amp;"(3), with respect to the publicly held corporation which is a member of such controlled group, and
(ii)any employee who would be described in subparagraph (C) of paragraph (3) if such subparagraph were applied by taking into account the employees of all m"&amp;"embers of the controlled group.
(D)Controlled group
For purposes of this paragraph, the term “controlled group” means any group treated as a single employer under subsection (b), (c), (m), or (o) of section 414.")</f>
        <v>(m)Certain excessive employee remuneration
(1)In general
In the case of any publicly held corporation, no deduction shall be allowed under this chapter for applicable employee remuneration with respect to any covered employee to the extent that the amount of such remuneration for the taxable year with respect to such employee exceeds $1,000,000.
(2)Publicly held corporation
For purposes of this subsection, the term “publicly held corporation” means any corporation which is an issuer (as defined in section 3 of the Securities Exchange Act of 1934 (15 U.S.C. 78c))—
(A)the securities of which are required to be registered under section 12 of such Act (15 U.S.C. 78l), or
(B)that is required to file reports under section 15(d) of such Act (15 U.S.C. 78o(d)).
(3)Covered employee
For purposes of this subsection, the term “covered employee” means any employee of the taxpayer if—
(A)such employee is the principal executive officer or principal financial officer of the taxpayer at any time during the taxable year, or was an individual acting in such a capacity,
(B)the total compensation of such employee for the taxable year is required to be reported to shareholders under the Securities Exchange Act of 1934 by reason of such employee being among the 3 highest compensated officers for the taxable year (other than any individual described in subparagraph (A)),
(C)in the case of taxable years beginning after December 31, 2026, such employee is among the 5 highest compensated employees for the taxable year other than any individual described in subparagraph (A) or (B), or
(D)was a covered employee described in subparagraph (A) or (B) of the taxpayer (or any predecessor) for any preceding taxable year beginning after December 31, 2016.
Such term shall include any employee who would be described in subparagraph (B) if the reporting described in such subparagraph were required as so described.
(4)Applicable employee remuneration
For purposes of this subsection—
(A)In general
Except as otherwise provided in this paragraph, the term “applicable employee remuneration” means, with respect to any covered employee for any taxable year, the aggregate amount allowable as a deduction under this chapter for such taxable year (determined without regard to this subsection) for remuneration for services performed by such employee (whether or not during the taxable year).
(B)Exception for existing binding contracts
The term “applicable employee remuneration” shall not include any remuneration payable under a written binding contract which was in effect on February 17, 1993, and which was not modified thereafter in any material respect before such remuneration is paid.
(C)Remuneration
For purposes of this paragraph, the term “remuneration” includes any remuneration (including benefits) in any medium other than cash, but shall not include—
(i)any payment referred to in so much of section 3121(a)(5) as precedes subparagraph (E) thereof, and
(ii)any benefit provided to or on behalf of an employee if at the time such benefit is provided it is reasonable to believe that the employee will be able to exclude such benefit from gross income under this chapter.
For purposes of clause (i), section 3121(a)(5) shall be applied without regard to section 3121(v)(1).
(D)Coordination with disallowed golden parachute payments
The dollar limitation contained in paragraph (1) shall be reduced (but not below zero) by the amount (if any) which would have been included in the applicable employee remuneration of the covered employee for the taxable year but for being disallowed under section 280G.
(E)Coordination with excise tax on specified stock compensation
The dollar limitation contained in paragraph (1) with respect to any covered employee shall be reduced (but not below zero) by the amount of any payment (with respect to such employee) of the tax imposed by section 4985 directly or indirectly by the expatriated corporation (as defined in such section) or by any member of the expanded affiliated group (as defined in such section) which includes such corporation.
(F)Special rule for remuneration paid to beneficiaries, etc.
Remuneration shall not fail to be applicable employee remuneration merely because it is includible in the income of, or paid to, a person other than the covered employee, including after the death of the covered employee.
(5)Special rule for application to employers participating in the Troubled Assets Relief Program
(A)In general
In the case of an applicable employer, no deduction shall be allowed under this chapter—
(i)in the case of executive remuneration for any applicable taxable year which is attributable to services performed by a covered executive during such applicable taxable year, to the extent that the amount of such remuneration exceeds $500,000, or
(ii)in the case of deferred deduction executive remuneration for any taxable year for services performed during any applicable taxable year by a covered executive, to the extent that the amount of such remuneration exceeds $500,000 reduced (but not below zero) by the sum of—
(I)the executive remuneration for such applicable taxable year, plus
(II)the portion of the deferred deduction executive remuneration for such services which was taken into account under this clause in a preceding taxable year.
(B)Applicable employer
For purposes of this paragraph—
(i)In general
Except as provided in clause (ii), the term “applicable employer” means any employer from whom 1 or more troubled assets are acquired under a program established by the Secretary under section 101(a) of the Emergency Economic Stabilization Act of 2008 if the aggregate amount of the assets so acquired for all taxable years exceeds $300,000,000.
(ii)Disregard of certain assets sold through direct purchase
If the only sales of troubled assets by an employer under the program described in clause (i) are through 1 or more direct purchases (within the meaning of section 113(c) of the Emergency Economic Stabilization Act of 2008), such assets shall not be taken into account under clause (i) in determining whether the employer is an applicable employer for purposes of this paragraph.
(iii)Aggregation rules
Two or more persons who are treated as a single employer under subsection (b) or (c) of section 414 shall be treated as a single employer, except that in applying section 1563(a) for purposes of either such subsection, paragraphs (2) and (3) thereof shall be disregarded.
(C)Applicable taxable year
For purposes of this paragraph, the term “applicable taxable year” means, with respect to any employer—
(i)the first taxable year of the employer—
(I)which includes any portion of the period during which the authorities under section 101(a) of the Emergency Economic Stabilization Act of 2008 are in effect (determined under section 120 thereof), and
(II)in which the aggregate amount of troubled assets acquired from the employer during the taxable year pursuant to such authorities (other than assets to which subparagraph (B)(ii) applies), when added to the aggregate amount so acquired for all preceding taxable years, exceeds $300,000,000, and
(ii)any subsequent taxable year which includes any portion of such period.
(D)Covered executive
For purposes of this paragraph—
(i)In general
The term “covered executive” means, with respect to any applicable taxable year, any employee—
(I)who, at any time during the portion of the taxable year during which the authorities under section 101(a) of the Emergency Economic Stabilization Act of 2008 are in effect (determined under section 120 thereof), is the chief executive officer of the applicable employer or the chief financial officer of the applicable employer, or an individual acting in either such capacity, or
(II)who is described in clause (ii).
(ii)Highest compensated employees
An employee is described in this clause if the employee is 1 of the 3 highest compensated officers of the applicable employer for the taxable year (other than an individual described in clause (i)(I)), determined—
(I)on the basis of the shareholder disclosure rules for compensation under the Securities Exchange Act of 1934 (without regard to whether those rules apply to the employer), and
(II)by only taking into account employees employed during the portion of the taxable year described in clause (i)(I).
(iii)Employee remains covered executive
If an employee is a covered executive with respect to an applicable employer for any applicable taxable year, such employee shall be treated as a covered executive with respect to such employer for all subsequent applicable taxable years and for all subsequent taxable years in which deferred deduction executive remuneration with respect to services performed in all such applicable taxable years would (but for this paragraph) be deductible.
(E)Executive remuneration
For purposes of this paragraph, the term “executive remuneration” means the applicable employee remuneration of the covered executive, as determined under paragraph (4) without regard to subparagraph (B) thereof. Such term shall not include any deferred deduction executive remuneration with respect to services performed in a prior applicable taxable year.
(F)Deferred deduction executive remuneration
For purposes of this paragraph, the term “deferred deduction executive remuneration” means remuneration which would be executive remuneration for services performed in an applicable taxable year but for the fact that the deduction under this chapter (determined without regard to this paragraph) for such remuneration is allowable in a subsequent taxable year.
(G)Coordination
Rules similar to the rules of subparagraphs (D) and (E) of paragraph (4) shall apply for purposes of this paragraph.
(H)Regulatory authority
The Secretary may prescribe such guidance, rules, or regulations as are necessary to carry out the purposes of this paragraph and the Emergency Economic Stabilization Act of 2008, including the extent to which this paragraph applies in the case of any acquisition, merger, or reorganization of an applicable employer.
(6)Special rule for application to certain health insurance providers
(A)In general
No deduction shall be allowed under this chapter—
(i)in the case of applicable individual remuneration which is for any disqualified taxable year beginning after December 31, 2012, and which is attributable to services performed by an applicable individual during such taxable year, to the extent that the amount of such remuneration exceeds $500,000, or
(ii)in the case of deferred deduction remuneration for any taxable year beginning after December 31, 2012, which is attributable to services performed by an applicable individual during any disqualified taxable year beginning after December 31, 2009, to the extent that the amount of such remuneration exceeds $500,000 reduced (but not below zero) by the sum of—
(I)the applicable individual remuneration for such disqualified taxable year, plus
(II)the portion of the deferred deduction remuneration for such services which was taken into account under this clause in a preceding taxable year (or which would have been taken into account under this clause in a preceding taxable year if this clause were applied by substituting “December 31, 2009” for “December 31, 2012” in the matter preceding subclause (I)).
(B)Disqualified taxable year
For purposes of this paragraph, the term “disqualified taxable year” means, with respect to any employer, any taxable year for which such employer is a covered health insurance provider.
(C)Covered health insurance provider
For purposes of this paragraph—
(i)In general
The term “covered health insurance provider” means—
(I)with respect to taxable years beginning after December 31, 2009, and before January 1, 2013, any employer which is a health insurance issuer (as defined in section 9832(b)(2)) and which receives premiums from providing health insurance coverage (as defined in section 9832(b)(1)), and
(II)with respect to taxable years beginning after December 31, 2012, any employer which is a health insurance issuer (as defined in section 9832(b)(2)) and with respect to which not less than 25 percent of the gross premiums received from providing health insurance coverage (as defined in section 9832(b)(1)) is from minimum essential coverage (as defined in section 5000A(f)).
(ii)Aggregation rules
Two or more persons who are treated as a single employer under subsection (b), (c), (m), or (o) of section 414 shall be treated as a single employer, except that in applying section 1563(a) for purposes of any such subsection, paragraphs (2) and (3) thereof shall be disregarded.
(D)Applicable individual remuneration
For purposes of this paragraph, the term “applicable individual remuneration” means, with respect to any applicable individual for any disqualified taxable year, the aggregate amount allowable as a deduction under this chapter for such taxable year (determined without regard to this subsection) for remuneration (as defined in paragraph (4) without regard to subparagraph (B) thereof) for services performed by such individual (whether or not during the taxable year). Such term shall not include any deferred deduction remuneration with respect to services performed during the disqualified taxable year.
(E)Deferred deduction remuneration
For purposes of this paragraph, the term “deferred deduction remuneration” means remuneration which would be applicable individual remuneration for services performed in a disqualified taxable year but for the fact that the deduction under this chapter (determined without regard to this paragraph) for such remuneration is allowable in a subsequent taxable year.
(F)Applicable individual
For purposes of this paragraph, the term “applicable individual” means, with respect to any covered health insurance provider for any disqualified taxable year, any individual—
(i)who is an officer, director, or employee in such taxable year, or
(ii)who provides services for or on behalf of such covered health insurance provider during such taxable year.
(G)Coordination
Rules similar to the rules of subparagraphs (D) and (E) of paragraph (4) shall apply for purposes of this paragraph.
(H)Regulatory authority
The Secretary may prescribe such guidance, rules, or regulations as are necessary to carry out the purposes of this paragraph.
(7)Remuneration from controlled group members
(A)In general
In the case of any publicly held corporation which is a member of a controlled group—
(i)paragraph (1) shall be applied by substituting “specified covered employee” for “covered employee”, and
(ii)if any person which is a member of such controlled group (other than such publicly held corporation) provides applicable employee remuneration to an individual who is a specified covered employee of such controlled group and the aggregate amount described in subparagraph (B)(ii) with respect to such specified covered employee exceeds $1,000,000—
(I)paragraph (1) shall apply to such person with respect to such remuneration, and
(II)paragraph (1) shall apply to such publicly held corporation and to each such related person by substituting “the allocable limitation amount” for “$1,000,000”.
(B)Allocable limitation amount
For purposes of this paragraph, the term “allocable limitation amount” means, with respect to any member of the controlled group referred to in subparagraph (A) with respect to any specified covered employee of such controlled group, the amount which bears the same ratio to $1,000,000 as—
(i)the amount of applicable employee remuneration provided by such member with respect to such specified covered employee, bears to
(ii)the aggregate amount of applicable employee remuneration provided by all such members with respect to such specified covered employee.
(C)Specified covered employee
For purposes of this paragraph, the term “specified covered employee” means, with respect to any controlled group—
(i)any employee described in subparagraph (A), (B), or (D) of paragraph (3), with respect to the publicly held corporation which is a member of such controlled group, and
(ii)any employee who would be described in subparagraph (C) of paragraph (3) if such subparagraph were applied by taking into account the employees of all members of the controlled group.
(D)Controlled group
For purposes of this paragraph, the term “controlled group” means any group treated as a single employer under subsection (b), (c), (m), or (o) of section 414.</v>
      </c>
      <c r="M15" s="4" t="str">
        <f>IFERROR(__xludf.DUMMYFUNCTION("""COMPUTED_VALUE"""),"IRC Section 162(m) limits publicly held corporations from deducting executive compensation exceeding $1 million per covered employee annually.")</f>
        <v>IRC Section 162(m) limits publicly held corporations from deducting executive compensation exceeding $1 million per covered employee annually.</v>
      </c>
      <c r="N15" s="4" t="str">
        <f>IFERROR(__xludf.DUMMYFUNCTION("""COMPUTED_VALUE"""),"Industries: [Technology, Finance, Healthcare, Energy, Consumer Discretionary] | Entities: [Publicly Held Corporations, C Corporations]")</f>
        <v>Industries: [Technology, Finance, Healthcare, Energy, Consumer Discretionary] | Entities: [Publicly Held Corporations, C Corporations]</v>
      </c>
      <c r="O15" s="4" t="str">
        <f>IFERROR(__xludf.DUMMYFUNCTION("""COMPUTED_VALUE"""),"Officer Compensation, Executive Salaries, Bonuses, Stock-based Compensation, Officer/Owner Distributions, Employee Benefits (Executive), Payroll Summary Report, General Ledger, W-2 Forms, Form 10-K (for public status verification)")</f>
        <v>Officer Compensation, Executive Salaries, Bonuses, Stock-based Compensation, Officer/Owner Distributions, Employee Benefits (Executive), Payroll Summary Report, General Ledger, W-2 Forms, Form 10-K (for public status verification)</v>
      </c>
      <c r="P15" s="4" t="str">
        <f>IFERROR(__xludf.DUMMYFUNCTION("""COMPUTED_VALUE"""),"🚨 Important: Executive Compensation Deduction Update for [Entity]
How this affects you::
Under IRC Section 162(m), your annual federal tax deduction for compensation paid to \[Executive\_Name\] is capped at $1,000,000. Based on \[Total\_Comp\] in total "&amp;"remuneration, the [NonDeductible_Amount] exceeding this limit is non-deductible, resulting in a \[Tax\_Impact\] to your entity's effective tax rate. Note that since the Tax Cuts and Jobs Act, the previous exception for performance-based compensation has b"&amp;"een repealed; all forms of pay, including performance-contingent bonuses and equity, now count toward the $1M threshold.
✅ Identify and track all 'covered employees,' including the CEO, CFO, and top three officers, under the 'once covered, always covered"&amp;"' rule
✅ Maintain detailed documentation of performance goals and payment terms to support financial statement reporting of permanent book-tax differences
✅ Coordinate with a CPA or tax advisor to review controlled group aggregation rules and potential 20"&amp;"27 expansions to the top five highest-paid employees
📚 Source: IRC Section 162(m)
⚠️ Disclaimer: This template is for informational purposes only. Tax laws are subject to change and individual circumstances vary. Please consult with a qualified tax pro"&amp;"fessional to confirm eligibility and compliance for your specific entity.")</f>
        <v>🚨 Important: Executive Compensation Deduction Update for [Entity]
How this affects you::
Under IRC Section 162(m), your annual federal tax deduction for compensation paid to \[Executive\_Name\] is capped at $1,000,000. Based on \[Total\_Comp\] in total remuneration, the [NonDeductible_Amount] exceeding this limit is non-deductible, resulting in a \[Tax\_Impact\] to your entity's effective tax rate. Note that since the Tax Cuts and Jobs Act, the previous exception for performance-based compensation has been repealed; all forms of pay, including performance-contingent bonuses and equity, now count toward the $1M threshold.
✅ Identify and track all 'covered employees,' including the CEO, CFO, and top three officers, under the 'once covered, always covered' rule
✅ Maintain detailed documentation of performance goals and payment terms to support financial statement reporting of permanent book-tax differences
✅ Coordinate with a CPA or tax advisor to review controlled group aggregation rules and potential 2027 expansions to the top five highest-paid employees
📚 Source: IRC Section 162(m)
⚠️ Disclaimer: This template is for informational purposes only. Tax laws are subject to change and individual circumstances vary. Please consult with a qualified tax professional to confirm eligibility and compliance for your specific entity.</v>
      </c>
      <c r="Q15" s="4" t="str">
        <f>IFERROR(__xludf.DUMMYFUNCTION("""COMPUTED_VALUE"""),"IRC Section 162(m) can increase your effective tax rate by disallowing deductions for executive compensation exceeding $1 million, effectively raising taxable income without reducing actual compensation costs.")</f>
        <v>IRC Section 162(m) can increase your effective tax rate by disallowing deductions for executive compensation exceeding $1 million, effectively raising taxable income without reducing actual compensation costs.</v>
      </c>
      <c r="R15" s="18" t="str">
        <f>IFERROR(__xludf.DUMMYFUNCTION("""COMPUTED_VALUE"""),"https://www.law.cornell.edu/uscode/text/26/162")</f>
        <v>https://www.law.cornell.edu/uscode/text/26/162</v>
      </c>
      <c r="S15" s="19">
        <f>IFERROR(__xludf.DUMMYFUNCTION("""COMPUTED_VALUE"""),46023.0)</f>
        <v>46023</v>
      </c>
      <c r="T15" s="4" t="str">
        <f>IFERROR(__xludf.DUMMYFUNCTION("""COMPUTED_VALUE"""),"ACTIVE")</f>
        <v>ACTIVE</v>
      </c>
      <c r="U15" s="4"/>
      <c r="V15" s="4"/>
      <c r="W15" s="4"/>
      <c r="X15" s="4"/>
      <c r="Y15" s="4"/>
      <c r="Z15" s="4"/>
    </row>
    <row r="16">
      <c r="A16" s="13" t="s">
        <v>51</v>
      </c>
      <c r="B16" s="13" t="s">
        <v>52</v>
      </c>
      <c r="C16" s="4" t="s">
        <v>195</v>
      </c>
      <c r="D16" s="4" t="s">
        <v>196</v>
      </c>
      <c r="E16" s="4" t="s">
        <v>197</v>
      </c>
      <c r="F16" s="1" t="s">
        <v>198</v>
      </c>
      <c r="G16" s="4" t="s">
        <v>199</v>
      </c>
      <c r="H16" s="16" t="s">
        <v>200</v>
      </c>
      <c r="I16" s="17">
        <v>46023.0</v>
      </c>
      <c r="J16" s="1" t="s">
        <v>128</v>
      </c>
      <c r="K16" s="4" t="str">
        <f>IFERROR(__xludf.DUMMYFUNCTION("""COMPUTED_VALUE"""),"§409A")</f>
        <v>§409A</v>
      </c>
      <c r="L16" s="4" t="str">
        <f>IFERROR(__xludf.DUMMYFUNCTION("""COMPUTED_VALUE"""),"(a)Rules relating to constructive receipt
(1)Plan failures
(A)Gross income inclusion
(i)In general
If at any time during a taxable year a nonqualified deferred compensation plan—
(I)fails to meet the requirements of paragraphs (2), (3), and (4), or
(II)is"&amp;" not operated in accordance with such requirements,
 all compensation deferred under the plan for the taxable year and all preceding taxable years shall be includible in gross income for the taxable year to the extent not subject to a substantial risk of "&amp;"forfeiture and not previously included in gross income.
(ii)Application only to affected participants
Clause (i) shall only apply with respect to all compensation deferred under the plan for participants with respect to whom the failure relates.
(B)Inter"&amp;"est and additional tax payable with respect to previously deferred compensation
(i)In general
If compensation is required to be included in gross income under subparagraph (A) for a taxable year, the tax imposed by this chapter for the taxable year shall "&amp;"be increased by the sum of—
(I)the amount of interest determined under clause (ii), and
(II)an amount equal to 20 percent of the compensation which is required to be included in gross income.
(ii)Interest
For purposes of clause (i), the interest determine"&amp;"d under this clause for any taxable year is the amount of interest at the underpayment rate plus 1 percentage point on the underpayments that would have occurred had the deferred compensation been includible in gross income for the taxable year in which f"&amp;"irst deferred or, if later, the first taxable year in which such deferred compensation is not subject to a substantial risk of forfeiture.
(2)Distributions
(A)In general
The requirements of this paragraph are met if the plan provides that compensation de"&amp;"ferred under the plan may not be distributed earlier than—
(i)separation from service as determined by the Secretary (except as provided in subparagraph (B)(i)),
(ii)the date the participant becomes disabled (within the meaning of subparagraph (C)),
(iii)"&amp;"death,
(iv)a specified time (or pursuant to a fixed schedule) specified under the plan at the date of the deferral of such compensation,
(v)to the extent provided by the Secretary, a change in the ownership or effective control of the corporation, or in t"&amp;"he ownership of a substantial portion of the assets of the corporation, or
(vi)the occurrence of an unforeseeable emergency.
(B)Special rules
(i)Specified employees
In the case of any specified employee, the requirement of subparagraph (A)(i) is met only "&amp;"if distributions may not be made before the date which is 6 months after the date of separation from service (or, if earlier, the date of death of the employee). For purposes of the preceding sentence, a specified employee is a key employee (as defined in"&amp;" section 416(i) without regard to paragraph (5) thereof) of a corporation any stock in which is publicly traded on an established securities market or otherwise.
(ii)Unforeseeable emergency
For purposes of subparagraph (A)(vi)—
(I)In general
The term “un"&amp;"foreseeable emergency” means a severe financial hardship to the participant resulting from an illness or accident of the participant, the participant’s spouse, or a dependent (as defined in section 152(a)) of the participant, loss of the participant’s pro"&amp;"perty due to casualty, or other similar extraordinary and unforeseeable circumstances arising as a result of events beyond the control of the participant.
(II)Limitation on distributions
The requirement of subparagraph (A)(vi) is met only if, as determin"&amp;"ed under regulations of the Secretary, the amounts distributed with respect to an emergency do not exceed the amounts necessary to satisfy such emergency plus amounts necessary to pay taxes reasonably anticipated as a result of the distribution, after tak"&amp;"ing into account the extent to which such hardship is or may be relieved through reimbursement or compensation by insurance or otherwise or by liquidation of the participant’s assets (to the extent the liquidation of such assets would not itself cause sev"&amp;"ere financial hardship).
(C)Disabled
For purposes of subparagraph (A)(ii), a participant shall be considered disabled if the participant—
(i)is unable to engage in any substantial gainful activity by reason of any medically determinable physical or menta"&amp;"l impairment which can be expected to result in death or can be expected to last for a continuous period of not less than 12 months, or
(ii)is, by reason of any medically determinable physical or mental impairment which can be expected to result in death "&amp;"or can be expected to last for a continuous period of not less than 12 months, receiving income replacement benefits for a period of not less than 3 months under an accident and health plan covering employees of the participant’s employer.
(3)Acceleration"&amp;" of benefits
The requirements of this paragraph are met if the plan does not permit the acceleration of the time or schedule of any payment under the plan, except as provided in regulations by the Secretary.
(4)Elections
(A)In general
The requirements of"&amp;" this paragraph are met if the requirements of subparagraphs (B) and (C) are met.
(B)Initial deferral decision
(i)In general
The requirements of this subparagraph are met if the plan provides that compensation for services performed during a taxable year"&amp;" may be deferred at the participant’s election only if the election to defer such compensation is made not later than the close of the preceding taxable year or at such other time as provided in regulations.
(ii)First year of eligibility
In the case of t"&amp;"he first year in which a participant becomes eligible to participate in the plan, such election may be made with respect to services to be performed subsequent to the election within 30 days after the date the participant becomes eligible to participate i"&amp;"n such plan.
(iii)Performance-based compensation
In the case of any performance-based compensation based on services performed over a period of at least 12 months, such election may be made no later than 6 months before the end of the period.
(C)Changes"&amp;" in time and form of distribution
The requirements of this subparagraph are met if, in the case of a plan which permits under a subsequent election a delay in a payment or a change in the form of payment—
(i)the plan requires that such election may not ta"&amp;"ke effect until at least 12 months after the date on which the election is made,
(ii)in the case of an election related to a payment not described in clause (ii), (iii), or (vi) of paragraph (2)(A), the plan requires that the payment with respect to which"&amp;" such election is made be deferred for a period of not less than 5 years from the date such payment would otherwise have been made, and
(iii)the plan requires that any election related to a payment described in paragraph (2)(A)(iv) may not be made less th"&amp;"an 12 months prior to the date of the first scheduled payment under such paragraph.
(b)Rules relating to funding
(1)Offshore property in a trust
In the case of assets set aside (directly or indirectly) in a trust (or other arrangement determined by the Se"&amp;"cretary) for purposes of paying deferred compensation under a nonqualified deferred compensation plan, for purposes of section 83 such assets shall be treated as property transferred in connection with the performance of services whether or not such asset"&amp;"s are available to satisfy claims of general creditors—
(A)at the time set aside if such assets (or such trust or other arrangement) are located outside of the United States, or
(B)at the time transferred if such assets (or such trust or other arrangement"&amp;") are subsequently transferred outside of the United States.
This paragraph shall not apply to assets located in a foreign jurisdiction if substantially all of the services to which the nonqualified deferred compensation relates are performed in such juri"&amp;"sdiction.
(2)Employer’s financial health
In the case of compensation deferred under a nonqualified deferred compensation plan, there is a transfer of property within the meaning of section 83 with respect to such compensation as of the earlier of—
(A)the "&amp;"date on which the plan first provides that assets will become restricted to the provision of benefits under the plan in connection with a change in the employer’s financial health, or
(B)the date on which assets are so restricted,
whether or not such asse"&amp;"ts are available to satisfy claims of general creditors.
(3)Treatment of employer’s defined benefit plan during restricted period
(A)In general
If—
(i)during any restricted period with respect to a single-employer defined benefit plan, assets are set asid"&amp;"e or reserved (directly or indirectly) in a trust (or other arrangement as determined by the Secretary) or transferred to such a trust or other arrangement for purposes of paying deferred compensation of an applicable covered employee under a nonqualified"&amp;" deferred compensation plan of the plan sponsor or member of a controlled group which includes the plan sponsor, or
(ii)a nonqualified deferred compensation plan of the plan sponsor or member of a controlled group which includes the plan sponsor provides "&amp;"that assets will become restricted to the provision of benefits under the plan to an applicable covered employee in connection with such restricted period (or other similar financial measure determined by the Secretary) with respect to the defined benefit"&amp;" plan, or assets are so restricted,
such assets shall, for purposes of section 83, be treated as property transferred in connection with the performance of services whether or not such assets are available to satisfy claims of general creditors. Clause (i"&amp;") shall not apply with respect to any assets which are so set aside before the restricted period with respect to the defined benefit plan.
(B)Restricted period
For purposes of this section, the term “restricted period” means, with respect to any plan desc"&amp;"ribed in subparagraph (A)—
(i)any period during which the plan is in at-risk status (as defined in section 430(i)),
(ii)any period the plan sponsor is a debtor in a case under title 11, United States Code, or similar Federal or State law, and
(iii)the 12-"&amp;"month period beginning on the date which is 6 months before the termination date of the plan if, as of the termination date, the plan is not sufficient for benefit liabilities (within the meaning of section 4041 of the Employee Retirement Income Security "&amp;"Act of 1974).
(C)Special rule for payment of taxes on deferred compensation included in income
If an employer provides directly or indirectly for the payment of any Federal, State, or local income taxes with respect to any compensation required to be incl"&amp;"uded in gross income by reason of this paragraph—
(i)interest shall be imposed under subsection (a)(1)(B)(i)(I) on the amount of such payment in the same manner as if such payment was part of the deferred compensation to which it relates,
(ii)such payment"&amp;" shall be taken into account in determining the amount of the additional tax under subsection (a)(1)(B)(i)(II) in the same manner as if such payment was part of the deferred compensation to which it relates, and
(iii)no deduction shall be allowed under th"&amp;"is title with respect to such payment.
(D)Other definitions
For purposes of this section—
(i)Applicable covered employee
The term “applicable covered employee” means any—
(I)covered employee of a plan sponsor,
(II)covered employee of a member of a control"&amp;"led group which includes the plan sponsor, and
(III)former employee who was a covered employee at the time of termination of employment with the plan sponsor or a member of a controlled group which includes the plan sponsor.
(ii)Covered employee
The term "&amp;"“covered employee” means an individual described in section 162(m)(3) or an individual subject to the requirements of section 16(a) of the Securities Exchange Act of 1934.
(4)Income inclusion for offshore trusts and employer’s financial health
For each t"&amp;"axable year that assets treated as transferred under this subsection remain set aside in a trust or other arrangement subject to paragraph (1), (2), or (3), any increase in value in, or earnings with respect to, such assets shall be treated as an addition"&amp;"al transfer of property under this subsection (to the extent not previously included in income).
(5)Interest on tax liability payable with respect to transferred property
(A)In general
If amounts are required to be included in gross income by reason of p"&amp;"aragraph (1), (2), or (3) for a taxable year, the tax imposed by this chapter for such taxable year shall be increased by the sum of—
(i)the amount of interest determined under subparagraph (B), and
(ii)an amount equal to 20 percent of the amounts require"&amp;"d to be included in gross income.
(B)Interest
For purposes of subparagraph (A), the interest determined under this subparagraph for any taxable year is the amount of interest at the underpayment rate plus 1 percentage point on the underpayments that would"&amp;" have occurred had the amounts so required to be included in gross income by paragraph (1), (2), or (3) been includible in gross income for the taxable year in which first deferred or, if later, the first taxable year in which such amounts are not subject"&amp;" to a substantial risk of forfeiture.
(c)No inference on earlier income inclusion or requirement of later inclusion
Nothing in this section shall be construed to prevent the inclusion of amounts in gross income under any other provision of this chapter o"&amp;"r any other rule of law earlier than the time provided in this section. Any amount included in gross income under this section shall not be required to be included in gross income under any other provision of this chapter or any other rule of law later th"&amp;"an the time provided in this section.
(d)Other definitions and special rules
For purposes of this section:
(1)Nonqualified deferred compensation plan
The term “nonqualified deferred compensation plan” means any plan that provides for the deferral of comp"&amp;"ensation, other than—
(A)a qualified employer plan, and
(B)any bona fide vacation leave, sick leave, compensatory time, disability pay, or death benefit plan.
(2)Qualified employer plan
The term “qualified employer plan” means—
(A)any plan, contract, pens"&amp;"ion, account, or trust described in subparagraph (A) or (B) of section 219(g)(5) (without regard to subparagraph (A)(iii)),
(B)any eligible deferred compensation plan (within the meaning of section 457(b)), and
(C)any plan described in section 415(m).
(3)"&amp;"Plan includes arrangements, etc.
The term “plan” includes any agreement or arrangement, including an agreement or arrangement that includes one person.
(4)Substantial risk of forfeiture
The rights of a person to compensation are subject to a substantial "&amp;"risk of forfeiture if such person’s rights to such compensation are conditioned upon the future performance of substantial services by any individual.
(5)Treatment of earnings
References to deferred compensation shall be treated as including references t"&amp;"o income (whether actual or notional) attributable to such compensation or such income.
(6)Aggregation rules
Except as provided by the Secretary, rules similar to the rules of subsections (b) and (c) of section 414 shall apply.
(7)Treatment of qualified"&amp;" stock
An arrangement under which an employee may receive qualified stock (as defined in section 83(i)(2)) shall not be treated as a nonqualified deferred compensation plan with respect to such employee solely because of such employee’s election, or abili"&amp;"ty to make an election, to defer recognition of income under section 83(i).
(e)Regulations
The Secretary shall prescribe such regulations as may be necessary or appropriate to carry out the purposes of this section, including regulations—
(1)providing fo"&amp;"r the determination of amounts of deferral in the case of a nonqualified deferred compensation plan which is a defined benefit plan,
(2)relating to changes in the ownership and control of a corporation or assets of a corporation for purposes of subsection"&amp;" (a)(2)(A)(v),
(3)exempting arrangements from the application of subsection (b) if such arrangements will not result in an improper deferral of United States tax and will not result in assets being effectively beyond the reach of creditors,
(4)defining fi"&amp;"nancial health for purposes of subsection (b)(2), and
(5)disregarding a substantial risk of forfeiture in cases where necessary to carry out the purposes of this section.
(Added Pub. L. 108–357, title VIII, § 885(a), Oct. 22, 2004, 118 Stat. 1634; amended"&amp;" Pub. L. 109–135, title IV, § 403(hh)(2), Dec. 21, 2005, 119 Stat. 2631; Pub. L. 109–280, title I, § 116(a), (b), Aug. 17, 2006, 120 Stat. 856, 858; Pub. L. 110–458, title I, § 101(e), Dec. 23, 2008, 122 Stat. 5100; Pub. L. 115–97, title I, § 13603(c)(2),"&amp;" Dec. 22, 2017, 131 Stat. 2164; Pub. L. 115–141, div. U, title IV, § 401(a)(80), Mar. 23, 2018, 132 Stat. 1187.)")</f>
        <v>(a)Rules relating to constructive receipt
(1)Plan failures
(A)Gross income inclusion
(i)In general
If at any time during a taxable year a nonqualified deferred compensation plan—
(I)fails to meet the requirements of paragraphs (2), (3), and (4), or
(II)is not operated in accordance with such requirements,
 all compensation deferred under the plan for the taxable year and all preceding taxable years shall be includible in gross income for the taxable year to the extent not subject to a substantial risk of forfeiture and not previously included in gross income.
(ii)Application only to affected participants
Clause (i) shall only apply with respect to all compensation deferred under the plan for participants with respect to whom the failure relates.
(B)Interest and additional tax payable with respect to previously deferred compensation
(i)In general
If compensation is required to be included in gross income under subparagraph (A) for a taxable year, the tax imposed by this chapter for the taxable year shall be increased by the sum of—
(I)the amount of interest determined under clause (ii), and
(II)an amount equal to 20 percent of the compensation which is required to be included in gross income.
(ii)Interest
For purposes of clause (i), the interest determined under this clause for any taxable year is the amount of interest at the underpayment rate plus 1 percentage point on the underpayments that would have occurred had the deferred compensation been includible in gross income for the taxable year in which first deferred or, if later, the first taxable year in which such deferred compensation is not subject to a substantial risk of forfeiture.
(2)Distributions
(A)In general
The requirements of this paragraph are met if the plan provides that compensation deferred under the plan may not be distributed earlier than—
(i)separation from service as determined by the Secretary (except as provided in subparagraph (B)(i)),
(ii)the date the participant becomes disabled (within the meaning of subparagraph (C)),
(iii)death,
(iv)a specified time (or pursuant to a fixed schedule) specified under the plan at the date of the deferral of such compensation,
(v)to the extent provided by the Secretary, a change in the ownership or effective control of the corporation, or in the ownership of a substantial portion of the assets of the corporation, or
(vi)the occurrence of an unforeseeable emergency.
(B)Special rules
(i)Specified employees
In the case of any specified employee, the requirement of subparagraph (A)(i) is met only if distributions may not be made before the date which is 6 months after the date of separation from service (or, if earlier, the date of death of the employee). For purposes of the preceding sentence, a specified employee is a key employee (as defined in section 416(i) without regard to paragraph (5) thereof) of a corporation any stock in which is publicly traded on an established securities market or otherwise.
(ii)Unforeseeable emergency
For purposes of subparagraph (A)(vi)—
(I)In general
The term “unforeseeable emergency” means a severe financial hardship to the participant resulting from an illness or accident of the participant, the participant’s spouse, or a dependent (as defined in section 152(a)) of the participant, loss of the participant’s property due to casualty, or other similar extraordinary and unforeseeable circumstances arising as a result of events beyond the control of the participant.
(II)Limitation on distributions
The requirement of subparagraph (A)(vi) is met only if, as determined under regulations of the Secretary, the amounts distributed with respect to an emergency do not exceed the amounts necessary to satisfy such emergency plus amounts necessary to pay taxes reasonably anticipated as a result of the distribution, after taking into account the extent to which such hardship is or may be relieved through reimbursement or compensation by insurance or otherwise or by liquidation of the participant’s assets (to the extent the liquidation of such assets would not itself cause severe financial hardship).
(C)Disabled
For purposes of subparagraph (A)(ii), a participant shall be considered disabled if the participant—
(i)is unable to engage in any substantial gainful activity by reason of any medically determinable physical or mental impairment which can be expected to result in death or can be expected to last for a continuous period of not less than 12 months, or
(ii)is, by reason of any medically determinable physical or mental impairment which can be expected to result in death or can be expected to last for a continuous period of not less than 12 months, receiving income replacement benefits for a period of not less than 3 months under an accident and health plan covering employees of the participant’s employer.
(3)Acceleration of benefits
The requirements of this paragraph are met if the plan does not permit the acceleration of the time or schedule of any payment under the plan, except as provided in regulations by the Secretary.
(4)Elections
(A)In general
The requirements of this paragraph are met if the requirements of subparagraphs (B) and (C) are met.
(B)Initial deferral decision
(i)In general
The requirements of this subparagraph are met if the plan provides that compensation for services performed during a taxable year may be deferred at the participant’s election only if the election to defer such compensation is made not later than the close of the preceding taxable year or at such other time as provided in regulations.
(ii)First year of eligibility
In the case of the first year in which a participant becomes eligible to participate in the plan, such election may be made with respect to services to be performed subsequent to the election within 30 days after the date the participant becomes eligible to participate in such plan.
(iii)Performance-based compensation
In the case of any performance-based compensation based on services performed over a period of at least 12 months, such election may be made no later than 6 months before the end of the period.
(C)Changes in time and form of distribution
The requirements of this subparagraph are met if, in the case of a plan which permits under a subsequent election a delay in a payment or a change in the form of payment—
(i)the plan requires that such election may not take effect until at least 12 months after the date on which the election is made,
(ii)in the case of an election related to a payment not described in clause (ii), (iii), or (vi) of paragraph (2)(A), the plan requires that the payment with respect to which such election is made be deferred for a period of not less than 5 years from the date such payment would otherwise have been made, and
(iii)the plan requires that any election related to a payment described in paragraph (2)(A)(iv) may not be made less than 12 months prior to the date of the first scheduled payment under such paragraph.
(b)Rules relating to funding
(1)Offshore property in a trust
In the case of assets set aside (directly or indirectly) in a trust (or other arrangement determined by the Secretary) for purposes of paying deferred compensation under a nonqualified deferred compensation plan, for purposes of section 83 such assets shall be treated as property transferred in connection with the performance of services whether or not such assets are available to satisfy claims of general creditors—
(A)at the time set aside if such assets (or such trust or other arrangement) are located outside of the United States, or
(B)at the time transferred if such assets (or such trust or other arrangement) are subsequently transferred outside of the United States.
This paragraph shall not apply to assets located in a foreign jurisdiction if substantially all of the services to which the nonqualified deferred compensation relates are performed in such jurisdiction.
(2)Employer’s financial health
In the case of compensation deferred under a nonqualified deferred compensation plan, there is a transfer of property within the meaning of section 83 with respect to such compensation as of the earlier of—
(A)the date on which the plan first provides that assets will become restricted to the provision of benefits under the plan in connection with a change in the employer’s financial health, or
(B)the date on which assets are so restricted,
whether or not such assets are available to satisfy claims of general creditors.
(3)Treatment of employer’s defined benefit plan during restricted period
(A)In general
If—
(i)during any restricted period with respect to a single-employer defined benefit plan, assets are set aside or reserved (directly or indirectly) in a trust (or other arrangement as determined by the Secretary) or transferred to such a trust or other arrangement for purposes of paying deferred compensation of an applicable covered employee under a nonqualified deferred compensation plan of the plan sponsor or member of a controlled group which includes the plan sponsor, or
(ii)a nonqualified deferred compensation plan of the plan sponsor or member of a controlled group which includes the plan sponsor provides that assets will become restricted to the provision of benefits under the plan to an applicable covered employee in connection with such restricted period (or other similar financial measure determined by the Secretary) with respect to the defined benefit plan, or assets are so restricted,
such assets shall, for purposes of section 83, be treated as property transferred in connection with the performance of services whether or not such assets are available to satisfy claims of general creditors. Clause (i) shall not apply with respect to any assets which are so set aside before the restricted period with respect to the defined benefit plan.
(B)Restricted period
For purposes of this section, the term “restricted period” means, with respect to any plan described in subparagraph (A)—
(i)any period during which the plan is in at-risk status (as defined in section 430(i)),
(ii)any period the plan sponsor is a debtor in a case under title 11, United States Code, or similar Federal or State law, and
(iii)the 12-month period beginning on the date which is 6 months before the termination date of the plan if, as of the termination date, the plan is not sufficient for benefit liabilities (within the meaning of section 4041 of the Employee Retirement Income Security Act of 1974).
(C)Special rule for payment of taxes on deferred compensation included in income
If an employer provides directly or indirectly for the payment of any Federal, State, or local income taxes with respect to any compensation required to be included in gross income by reason of this paragraph—
(i)interest shall be imposed under subsection (a)(1)(B)(i)(I) on the amount of such payment in the same manner as if such payment was part of the deferred compensation to which it relates,
(ii)such payment shall be taken into account in determining the amount of the additional tax under subsection (a)(1)(B)(i)(II) in the same manner as if such payment was part of the deferred compensation to which it relates, and
(iii)no deduction shall be allowed under this title with respect to such payment.
(D)Other definitions
For purposes of this section—
(i)Applicable covered employee
The term “applicable covered employee” means any—
(I)covered employee of a plan sponsor,
(II)covered employee of a member of a controlled group which includes the plan sponsor, and
(III)former employee who was a covered employee at the time of termination of employment with the plan sponsor or a member of a controlled group which includes the plan sponsor.
(ii)Covered employee
The term “covered employee” means an individual described in section 162(m)(3) or an individual subject to the requirements of section 16(a) of the Securities Exchange Act of 1934.
(4)Income inclusion for offshore trusts and employer’s financial health
For each taxable year that assets treated as transferred under this subsection remain set aside in a trust or other arrangement subject to paragraph (1), (2), or (3), any increase in value in, or earnings with respect to, such assets shall be treated as an additional transfer of property under this subsection (to the extent not previously included in income).
(5)Interest on tax liability payable with respect to transferred property
(A)In general
If amounts are required to be included in gross income by reason of paragraph (1), (2), or (3) for a taxable year, the tax imposed by this chapter for such taxable year shall be increased by the sum of—
(i)the amount of interest determined under subparagraph (B), and
(ii)an amount equal to 20 percent of the amounts required to be included in gross income.
(B)Interest
For purposes of subparagraph (A), the interest determined under this subparagraph for any taxable year is the amount of interest at the underpayment rate plus 1 percentage point on the underpayments that would have occurred had the amounts so required to be included in gross income by paragraph (1), (2), or (3) been includible in gross income for the taxable year in which first deferred or, if later, the first taxable year in which such amounts are not subject to a substantial risk of forfeiture.
(c)No inference on earlier income inclusion or requirement of later inclusion
Nothing in this section shall be construed to prevent the inclusion of amounts in gross income under any other provision of this chapter or any other rule of law earlier than the time provided in this section. Any amount included in gross income under this section shall not be required to be included in gross income under any other provision of this chapter or any other rule of law later than the time provided in this section.
(d)Other definitions and special rules
For purposes of this section:
(1)Nonqualified deferred compensation plan
The term “nonqualified deferred compensation plan” means any plan that provides for the deferral of compensation, other than—
(A)a qualified employer plan, and
(B)any bona fide vacation leave, sick leave, compensatory time, disability pay, or death benefit plan.
(2)Qualified employer plan
The term “qualified employer plan” means—
(A)any plan, contract, pension, account, or trust described in subparagraph (A) or (B) of section 219(g)(5) (without regard to subparagraph (A)(iii)),
(B)any eligible deferred compensation plan (within the meaning of section 457(b)), and
(C)any plan described in section 415(m).
(3)Plan includes arrangements, etc.
The term “plan” includes any agreement or arrangement, including an agreement or arrangement that includes one person.
(4)Substantial risk of forfeiture
The rights of a person to compensation are subject to a substantial risk of forfeiture if such person’s rights to such compensation are conditioned upon the future performance of substantial services by any individual.
(5)Treatment of earnings
References to deferred compensation shall be treated as including references to income (whether actual or notional) attributable to such compensation or such income.
(6)Aggregation rules
Except as provided by the Secretary, rules similar to the rules of subsections (b) and (c) of section 414 shall apply.
(7)Treatment of qualified stock
An arrangement under which an employee may receive qualified stock (as defined in section 83(i)(2)) shall not be treated as a nonqualified deferred compensation plan with respect to such employee solely because of such employee’s election, or ability to make an election, to defer recognition of income under section 83(i).
(e)Regulations
The Secretary shall prescribe such regulations as may be necessary or appropriate to carry out the purposes of this section, including regulations—
(1)providing for the determination of amounts of deferral in the case of a nonqualified deferred compensation plan which is a defined benefit plan,
(2)relating to changes in the ownership and control of a corporation or assets of a corporation for purposes of subsection (a)(2)(A)(v),
(3)exempting arrangements from the application of subsection (b) if such arrangements will not result in an improper deferral of United States tax and will not result in assets being effectively beyond the reach of creditors,
(4)defining financial health for purposes of subsection (b)(2), and
(5)disregarding a substantial risk of forfeiture in cases where necessary to carry out the purposes of this section.
(Added Pub. L. 108–357, title VIII, § 885(a), Oct. 22, 2004, 118 Stat. 1634; amended Pub. L. 109–135, title IV, § 403(hh)(2), Dec. 21, 2005, 119 Stat. 2631; Pub. L. 109–280, title I, § 116(a), (b), Aug. 17, 2006, 120 Stat. 856, 858; Pub. L. 110–458, title I, § 101(e), Dec. 23, 2008, 122 Stat. 5100; Pub. L. 115–97, title I, § 13603(c)(2), Dec. 22, 2017, 131 Stat. 2164; Pub. L. 115–141, div. U, title IV, § 401(a)(80), Mar. 23, 2018, 132 Stat. 1187.)</v>
      </c>
      <c r="M16" s="4" t="str">
        <f>IFERROR(__xludf.DUMMYFUNCTION("""COMPUTED_VALUE"""),"Section 409A regulates nonqualified deferred compensation timing; violations trigger immediate taxation and a 20% penalty.")</f>
        <v>Section 409A regulates nonqualified deferred compensation timing; violations trigger immediate taxation and a 20% penalty.</v>
      </c>
      <c r="N16" s="4" t="str">
        <f>IFERROR(__xludf.DUMMYFUNCTION("""COMPUTED_VALUE"""),"Industries: [Technology, Financial Services, Biotechnology, Healthcare, Manufacturing] | Entities: [Corporations, Partnerships, Tax-Exempt Organizations]")</f>
        <v>Industries: [Technology, Financial Services, Biotechnology, Healthcare, Manufacturing] | Entities: [Corporations, Partnerships, Tax-Exempt Organizations]</v>
      </c>
      <c r="O16" s="4" t="str">
        <f>IFERROR(__xludf.DUMMYFUNCTION("""COMPUTED_VALUE"""),"Officer Compensation, Deferred Compensation Liability, Stock-based Compensation, Severance Pay, Accrued Bonuses, Payroll Item List, Employee Profile (Vesting and Distribution Dates), General Ledger (for non-qualified plan contributions)")</f>
        <v>Officer Compensation, Deferred Compensation Liability, Stock-based Compensation, Severance Pay, Accrued Bonuses, Payroll Item List, Employee Profile (Vesting and Distribution Dates), General Ledger (for non-qualified plan contributions)</v>
      </c>
      <c r="P16" s="4" t="str">
        <f>IFERROR(__xludf.DUMMYFUNCTION("""COMPUTED_VALUE"""),"🚨 Urgent: Section 409A Compliance Alert for [Entity]
How this affects you::
IRC Section 409A strictly regulates the timing of nonqualified deferred compensation. Failure to comply with these rules triggers immediate taxation of your \[Deferral\_Amount\]"&amp;" in deferred pay, plus a mandatory 20% penalty—estimated at \[Penalty\_Risk\]—and accrued interest. To avoid these penalties, all deferral elections must generally be made by the end of the year preceding the service year, and distributions must be limite"&amp;"d to specific events like \[Distribution\_Event\].
✅ Conduct a 409A valuation review by \[Valuation\_Date\] to ensure stock rights are not treated as deferred compensation
✅ Verify that all initial deferral elections were documented before the applicable"&amp;" year-end deadline
✅ Maintain strict documentation for all distribution events to prevent impermissible acceleration of benefits
📚 Source: IRC Section 409A
⚠️ Disclaimer: This template is for informational purposes only. Tax laws are subject to change "&amp;"and individual circumstances vary. Please consult with a qualified tax professional to confirm eligibility and compliance for your specific entity.")</f>
        <v>🚨 Urgent: Section 409A Compliance Alert for [Entity]
How this affects you::
IRC Section 409A strictly regulates the timing of nonqualified deferred compensation. Failure to comply with these rules triggers immediate taxation of your \[Deferral\_Amount\] in deferred pay, plus a mandatory 20% penalty—estimated at \[Penalty\_Risk\]—and accrued interest. To avoid these penalties, all deferral elections must generally be made by the end of the year preceding the service year, and distributions must be limited to specific events like \[Distribution\_Event\].
✅ Conduct a 409A valuation review by \[Valuation\_Date\] to ensure stock rights are not treated as deferred compensation
✅ Verify that all initial deferral elections were documented before the applicable year-end deadline
✅ Maintain strict documentation for all distribution events to prevent impermissible acceleration of benefits
📚 Source: IRC Section 409A
⚠️ Disclaimer: This template is for informational purposes only. Tax laws are subject to change and individual circumstances vary. Please consult with a qualified tax professional to confirm eligibility and compliance for your specific entity.</v>
      </c>
      <c r="Q16" s="4" t="str">
        <f>IFERROR(__xludf.DUMMYFUNCTION("""COMPUTED_VALUE"""),"IRC Section 409A requires strict adherence to distribution schedules for nonqualified deferred compensation, where violations trigger immediate taxation and a 20% penalty that accelerates tax liabilities and alters compensation timing ratios.")</f>
        <v>IRC Section 409A requires strict adherence to distribution schedules for nonqualified deferred compensation, where violations trigger immediate taxation and a 20% penalty that accelerates tax liabilities and alters compensation timing ratios.</v>
      </c>
      <c r="R16" s="18" t="str">
        <f>IFERROR(__xludf.DUMMYFUNCTION("""COMPUTED_VALUE"""),"https://www.law.cornell.edu/uscode/text/26/409A")</f>
        <v>https://www.law.cornell.edu/uscode/text/26/409A</v>
      </c>
      <c r="S16" s="19">
        <f>IFERROR(__xludf.DUMMYFUNCTION("""COMPUTED_VALUE"""),46023.0)</f>
        <v>46023</v>
      </c>
      <c r="T16" s="4" t="str">
        <f>IFERROR(__xludf.DUMMYFUNCTION("""COMPUTED_VALUE"""),"ACTIVE")</f>
        <v>ACTIVE</v>
      </c>
      <c r="U16" s="4"/>
      <c r="V16" s="4"/>
      <c r="W16" s="4"/>
      <c r="X16" s="4"/>
      <c r="Y16" s="4"/>
      <c r="Z16" s="4"/>
    </row>
    <row r="17">
      <c r="A17" s="13" t="s">
        <v>54</v>
      </c>
      <c r="B17" s="13" t="s">
        <v>55</v>
      </c>
      <c r="C17" s="4" t="s">
        <v>201</v>
      </c>
      <c r="D17" s="4" t="s">
        <v>202</v>
      </c>
      <c r="E17" s="4" t="s">
        <v>203</v>
      </c>
      <c r="F17" s="1" t="s">
        <v>204</v>
      </c>
      <c r="G17" s="4" t="s">
        <v>205</v>
      </c>
      <c r="H17" s="16" t="s">
        <v>206</v>
      </c>
      <c r="I17" s="17">
        <v>46023.0</v>
      </c>
      <c r="J17" s="1" t="s">
        <v>128</v>
      </c>
      <c r="K17" s="4" t="str">
        <f>IFERROR(__xludf.DUMMYFUNCTION("""COMPUTED_VALUE"""),"§1202")</f>
        <v>§1202</v>
      </c>
      <c r="L17" s="4" t="str">
        <f>IFERROR(__xludf.DUMMYFUNCTION("""COMPUTED_VALUE"""),"(a)Exclusion
(1)In general
In the case of a taxpayer other than a corporation, gross income shall not include—
(A)except as provided in paragraphs (3) and (4), 50 percent of any gain from the sale or exchange of qualified small business stock acquired on "&amp;"or before the applicable date and held for more than 5 years, and
(B)the applicable percentage of any gain from the sale or exchange of qualified small business stock acquired after the applicable date and held for at least 3 years.
(2)Empowerment zone bu"&amp;"sinesses
(A)In general
In the case of qualified small business stock acquired after the date of the enactment of this paragraph in a corporation which is a qualified business entity (as defined in section 1397C(b)) during substantially all of the taxpayer"&amp;"’s holding period for such stock, paragraph (1) shall be applied by substituting “60 percent” for “50 percent”.
(B)Certain rules to apply
Rules similar to the rules of paragraphs (5) and (7) of section 1400B(b) (as in effect before its repeal) shall appl"&amp;"y for purposes of this paragraph.
(C)Gain after 2018 not qualified
Subparagraph (A) shall not apply to gain attributable to periods after December 31, 2018.
(D)Treatment of DC zone
The District of Columbia Enterprise Zone shall not be treated as an empo"&amp;"werment zone for purposes of this paragraph.
(3)Special rules for 2009 and certain periods in 2010
In the case of qualified small business stock acquired after the date of the enactment of this paragraph and on or before the date of the enactment of the "&amp;"Creating Small Business Jobs Act of 2010—
(A)paragraph (1)(A) shall be applied by substituting “75 percent” for “50 percent”, and
(B)paragraph (2) shall not apply.
In the case of any stock which would be described in the preceding sentence (but for this s"&amp;"entence), the acquisition date for purposes of this subsection shall be the first day on which such stock was held by the taxpayer determined after the application of section 1223.
(4)100 percent exclusion for stock acquired during certain periods in 2010"&amp;" and thereafter
In the case of qualified small business stock acquired after the date of the enactment of the Creating Small Business Jobs Act of 2010 and on or before the applicable date—
(A)paragraph (1)(A) shall be applied by substituting “100 percent”"&amp;" for “50 percent”,[1]
(B)paragraph (2) shall not apply.
In the case of any stock which would be described in the preceding sentence (but for this sentence), the acquisition date for purposes of this subsection shall be the first day on which such stock wa"&amp;"s held by the taxpayer determined after the application of section 1223.
(5)Applicable percentage
The applicable percentage under paragraph (1) shall be determined under the following table:
Years stock held:
Applicable
percentage:
3 years
50%
4 yea"&amp;"rs
75%
5 years or more
100%
(6)Applicable date; acquisition date
For purposes of this section—
(A)Applicable date
The term “applicable date” means the date of the enactment of this paragraph.
(B)Acquisition date
In the case of any stock which would ("&amp;"but for this paragraph) be treated as having been acquired before, on, or after the applicable date, whichever is applicable, the acquisition date for purposes of this section shall be the first day on which such stock was held by the taxpayer determined "&amp;"after the application of section 1223.
(b)Per-issuer limitation on taxpayer’s eligible gain
(1)In general
If the taxpayer has eligible gain for the taxable year from 1 or more dispositions of stock issued by any corporation, the aggregate amount of such "&amp;"gain from dispositions of stock issued by such corporation which may be taken into account under subsection (a) for the taxable year shall not exceed the greater of—
(A)the applicable dollar limit for the taxable year, or
(B)10 times the aggregate adjuste"&amp;"d bases of qualified small business stock issued by such corporation and disposed of by the taxpayer during the taxable year.
For purposes of subparagraph (B), the adjusted basis of any stock shall be determined without regard to any addition to basis aft"&amp;"er the date on which such stock was originally issued.
(2)Eligible gain
For purposes of this subsection, the term “eligible gain” means any gain from the sale or exchange of qualified small business stock held for at least 3 years (more than 5 years in th"&amp;"e case of stock acquired on or before the applicable date).
(3)Treatment of married individuals
(A)Separate returns
In the case of a separate return by a married individual for any taxable year—
(i)paragraph (4)(A) shall be applied by substituting “$5,00"&amp;"0,000” for “$10,000,000”, and
(ii)paragraph (4)(B) shall be applied by substituting one-half of the dollar amount in effect under such paragraph for the taxable year for the amount so in effect.
(B)Allocation of exclusion
In the case of any joint return, "&amp;"the amount of gain taken into account under subsection (a) shall be allocated equally between the spouses for purposes of applying this subsection to subsequent taxable years.
(C)Marital status
For purposes of this subsection, marital status shall be det"&amp;"ermined under section 7703.
(4) [2] Applicable dollar limit
For purposes of paragraph (1)(A), the applicable dollar limit for any taxable year with respect to eligible gain from 1 or more dispositions by a taxpayer of qualified business stock of a corpor"&amp;"ation is—
(A)if such stock was acquired by the taxpayer on or before the applicable date, $10,000,000, reduced by the aggregate amount of eligible gain taken into account by the taxpayer under subsection (a) for prior taxable years and attributable to dis"&amp;"positions of stock issued by such corporation and acquired by the taxpayer before, on, or after the applicable date, and
(B)if such stock was acquired by the taxpayer after the applicable date, $15,000,000, reduced by the sum of—
(i)the aggregate amount o"&amp;"f eligible gain taken into account by the taxpayer under subsection (a) for prior taxable years and attributable to dispositions of stock issued by such corporation and acquired by the taxpayer before, on, or after the applicable date, plus
(ii)the aggreg"&amp;"ate amount of eligible gain taken into account by the taxpayer under subsection (a) for the taxable year and attributable to dispositions of stock issued by such corporation and acquired by the taxpayer on or before the applicable date.
(5)Inflation adjus"&amp;"tment
(A)In general
In the case of any taxable year beginning after 2026, the $15,000,000 amount in paragraph (4)(B) shall be increased by an amount equal to—
(i)such dollar amount, multiplied by
(ii)the cost-of-living adjustment determined under section "&amp;"1(f)(3) for the calendar year in which the taxable year begins, determined by substituting “calendar year 2025” for “calendar year 2016” in subparagraph (A)(ii) thereof.
If any increase under this subparagraph is not a multiple of $10,000, such increase s"&amp;"hall be rounded to the nearest multiple of $10,000.
(B)No increase once limit reached
If, for any taxable year, the eligible gain attributable to dispositions of stock issued by a corporation and acquired by the taxpayer after the applicable date exceeds "&amp;"the applicable dollar limit, then notwithstanding any increase under subparagraph (A) for any subsequent taxable year, the applicable dollar limit for such subsequent taxable year shall be zero.
(4) 2 Inflation adjustment
In the case of any taxable year "&amp;"beginning after 2026, the $75,000,000 amounts in paragraphs (1)(A) and (1)(B) shall each be increased by an amount equal to—
(A)such dollar amount, multiplied by
(B)the cost-of-living adjustment determined under section 1(f)(3) for the calendar year in wh"&amp;"ich the taxable year begins, determined by substituting “calendar year 2025” for “calendar year 2016” in subparagraph (A)(ii) thereof.
If any increase under this paragraph is not a multiple of $10,000, such increase shall be rounded to the nearest multipl"&amp;"e of $10,000.
(c)Qualified small business stock
For purposes of this section—
(1)In general
Except as otherwise provided in this section, the term “qualified small business stock” means any stock in a C corporation which is originally issued after the dat"&amp;"e of the enactment of the Revenue Reconciliation Act of 1993, if—
(A)as of the date of issuance, such corporation is a qualified small business, and
(B)except as provided in subsections (f) and (h), such stock is acquired by the taxpayer at its original i"&amp;"ssue (directly or through an underwriter)—
(i)in exchange for money or other property (not including stock), or
(ii)as compensation for services provided to such corporation (other than services performed as an underwriter of such stock).
(2)Active busine"&amp;"ss requirement; etc.
(A)In general
Stock in a corporation shall not be treated as qualified small business stock unless, during substantially all of the taxpayer’s holding period for such stock, such corporation meets the active business requirements of s"&amp;"ubsection (e) and such corporation is a C corporation.
(B)Special rule for certain small business investment companies
(i)Waiver of active business requirement
Notwithstanding any provision of subsection (e), a corporation shall be treated as meeting the"&amp;" active business requirements of such subsection for any period during which such corporation qualifies as a specialized small business investment company.
(ii)Specialized small business investment company
For purposes of clause (i), the term “specialize"&amp;"d small business investment company” means any eligible corporation (as defined in subsection (e)(4)) which is licensed to operate under section 301(d) of the Small Business Investment Act of 1958 (as in effect on May 13, 1993).
(3)Certain purchases by c"&amp;"orporation of its own stock
(A)Redemptions from taxpayer or related person
Stock acquired by the taxpayer shall not be treated as qualified small business stock if, at any time during the 4-year period beginning on the date 2 years before the issuance of "&amp;"such stock, the corporation issuing such stock purchased (directly or indirectly) any of its stock from the taxpayer or from a person related (within the meaning of section 267(b) or 707(b)) to the taxpayer.
(B)Significant redemptions
Stock issued by a c"&amp;"orporation shall not be treated as qualified business stock if, during the 2-year period beginning on the date 1 year before the issuance of such stock, such corporation made 1 or more purchases of its stock with an aggregate value (as of the time of the "&amp;"respective purchases) exceeding 5 percent of the aggregate value of all of its stock as of the beginning of such 2-year period.
(C)Treatment of certain transactions
If any transaction is treated under section 304(a) as a distribution in redemption of the"&amp;" stock of any corporation, for purposes of subparagraphs (A) and (B), such corporation shall be treated as purchasing an amount of its stock equal to the amount treated as such a distribution under section 304(a).
(d)Qualified small business
For purposes"&amp;" of this section—
(1)In general
The term “qualified small business” means any domestic corporation which is a C corporation if—
(A)the aggregate gross assets of such corporation (or any predecessor thereof) at all times on or after the date of the enactme"&amp;"nt of the Revenue Reconciliation Act of 1993 and before the issuance did not exceed $75,000,000,
(B)the aggregate gross assets of such corporation immediately after the issuance (determined by taking into account amounts received in the issuance) do not e"&amp;"xceed $75,000,000, and
(C)such corporation agrees to submit such reports to the Secretary and to shareholders as the Secretary may require to carry out the purposes of this section.
(2)Aggregate gross assets
(A)In general
For purposes of paragraph (1), th"&amp;"e term “aggregate gross assets” means the amount of cash and the aggregate adjusted bases of other property held by the corporation.
(B)Treatment of contributed property
For purposes of subparagraph (A), the adjusted basis of any property contributed to "&amp;"the corporation (or other property with a basis determined in whole or in part by reference to the adjusted basis of property so contributed) shall be determined as if the basis of the property contributed to the corporation (immediately after such contri"&amp;"bution) were equal to its fair market value as of the time of such contribution.
(3)Aggregation rules
(A)In general
All corporations which are members of the same parent-subsidiary controlled group shall be treated as 1 corporation for purposes of this s"&amp;"ubsection.
(B)Parent-subsidiary controlled group
For purposes of subparagraph (A), the term “parent-subsidiary controlled group” means any controlled group of corporations as defined in section 1563(a)(1), except that—
(i)“more than 50 percent” shall be "&amp;"substituted for “at least 80 percent” each place it appears in section 1563(a)(1), and
(ii)section 1563(a)(4) shall not apply.
(e)Active business requirement
(1)In general
For purposes of subsection (c)(2), the requirements of this subsection are met by a"&amp;" corporation for any period if during such period—
(A)at least 80 percent (by value) of the assets of such corporation are used by such corporation in the active conduct of 1 or more qualified trades or businesses, and
(B)such corporation is an eligible c"&amp;"orporation.
(2)Special rule for certain activities
For purposes of paragraph (1), if, in connection with any future qualified trade or business, a corporation is engaged in—
(A)start-up activities described in section 195(c)(1)(A),
(B)activities resulting"&amp;" in the payment or incurring of expenditures which are treated as foreign research or experimental expenditures under section 174 or domestic research or experimental expenditures under section 174A, or
(C)activities with respect to in-house research expe"&amp;"nses described in section 41(b)(4),
assets used in such activities shall be treated as used in the active conduct of a qualified trade or business. Any determination under this paragraph shall be made without regard to whether a corporation has any gross "&amp;"income from such activities at the time of the determination.
(3)Qualified trade or business
For purposes of this subsection, the term “qualified trade or business” means any trade or business other than—
(A)any trade or business involving the performance"&amp;" of services in the fields of health, law, engineering, architecture, accounting, actuarial science, performing arts, consulting, athletics, financial services, brokerage services, or any trade or business where the principal asset of such trade or busine"&amp;"ss is the reputation or skill of 1 or more of its employees,
(B)any banking, insurance, financing, leasing, investing, or similar business,
(C)any farming business (including the business of raising or harvesting trees),
(D)any business involving the prod"&amp;"uction or extraction of products of a character with respect to which a deduction is allowable under section 613 or 613A, and
(E)any business of operating a hotel, motel, restaurant, or similar business.
(4)Eligible corporation
For purposes of this subsec"&amp;"tion, the term “eligible corporation” means any domestic corporation; except that such term shall not include—
(A)a DISC or former DISC,
(B)a regulated investment company, real estate investment trust, or REMIC, and
(C)a cooperative.
(5)Stock in other cor"&amp;"porations
(A)Look-thru in case of subsidiaries
For purposes of this subsection, stock and debt in any subsidiary corporation shall be disregarded and the parent corporation shall be deemed to own its ratable share of the subsidiary’s assets, and to conduc"&amp;"t its ratable share of the subsidiary’s activities.
(B)Portfolio stock or securities
A corporation shall be treated as failing to meet the requirements of paragraph (1) for any period during which more than 10 percent of the value of its assets (in exces"&amp;"s of liabilities) consists of stock or securities in other corporations which are not subsidiaries of such corporation (other than assets described in paragraph (6)).
(C)Subsidiary
For purposes of this paragraph, a corporation shall be considered a subsi"&amp;"diary if the parent owns more than 50 percent of the combined voting power of all classes of stock entitled to vote, or more than 50 percent in value of all outstanding stock, of such corporation.
(6)Working capital
For purposes of paragraph (1)(A), any "&amp;"assets which—
(A)are held as a part of the reasonably required working capital needs of a qualified trade or business of the corporation, or
(B)are held for investment and are reasonably expected to be used within 2 years to finance research and experimen"&amp;"tation in a qualified trade or business or increases in working capital needs of a qualified trade or business,
shall be treated as used in the active conduct of a qualified trade or business. For periods after the corporation has been in existence for at"&amp;" least 2 years, in no event may more than 50 percent of the assets of the corporation qualify as used in the active conduct of a qualified trade or business by reason of this paragraph.
(7)Maximum real estate holdings
A corporation shall not be treated as"&amp;" meeting the requirements of paragraph (1) for any period during which more than 10 percent of the total value of its assets consists of real property which is not used in the active conduct of a qualified trade or business. For purposes of the preceding "&amp;"sentence, the ownership of, dealing in, or renting of real property shall not be treated as the active conduct of a qualified trade or business.
(8)Computer software royalties
For purposes of paragraph (1), rights to computer software which produces acti"&amp;"ve business computer software royalties (within the meaning of section 543(d)(1)) shall be treated as an asset used in the active conduct of a trade or business.
(f)Stock acquired on conversion of other stock
If any stock in a corporation is acquired sol"&amp;"ely through the conversion of other stock in such corporation which is qualified small business stock in the hands of the taxpayer—
(1)the stock so acquired shall be treated as qualified small business stock in the hands of the taxpayer, and
(2)the stock "&amp;"so acquired shall be treated as having been held during the period during which the converted stock was held.
(g)Treatment of pass-thru entities
(1)In general
If any amount included in gross income by reason of holding an interest in a pass-thru entity me"&amp;"ets the requirements of paragraph (2)—
(A)such amount shall be treated as gain described in subsection (a), and
(B)for purposes of applying subsection (b), such amount shall be treated as gain from a disposition of stock in the corporation issuing the sto"&amp;"ck disposed of by the pass-thru entity and the taxpayer’s proportionate share of the adjusted basis of the pass-thru entity in such stock shall be taken into account.
(2)Requirements
An amount meets the requirements of this paragraph if—
(A)such amount is"&amp;" attributable to gain on the sale or exchange by the pass-thru entity of stock which is qualified small business stock in the hands of such entity (determined by treating such entity as an individual) and which was held by such entity for at least 3 years"&amp;" (more than 5 years in the case of stock acquired on or before the applicable date), and
(B)such amount is includible in the gross income of the taxpayer by reason of the holding of an interest in such entity which was held by the taxpayer on the date on "&amp;"which such pass-thru entity acquired such stock and at all times thereafter before the disposition of such stock by such pass-thru entity.
(3)Limitation based on interest originally held by taxpayer
Paragraph (1) shall not apply to any amount to the exten"&amp;"t such amount exceeds the amount to which paragraph (1) would have applied if such amount were determined by reference to the interest the taxpayer held in the pass-thru entity on the date the qualified small business stock was acquired.
(4)Pass-thru ent"&amp;"ity
For purposes of this subsection, the term “pass-thru entity” means—
(A)any partnership,
(B)any S corporation,
(C)any regulated investment company, and
(D)any common trust fund.
(h)Certain tax-free and other transfers
For purposes of this section—
(1)I"&amp;"n general
In the case of a transfer described in paragraph (2), the transferee shall be treated as—
(A)having acquired such stock in the same manner as the transferor, and
(B)having held such stock during any continuous period immediately preceding the tr"&amp;"ansfer during which it was held (or treated as held under this subsection) by the transferor.
(2)Description of transfers
A transfer is described in this subsection if such transfer is—
(A)by gift,
(B)at death, or
(C)from a partnership to a partner of sto"&amp;"ck with respect to which requirements similar to the requirements of subsection (g) are met at the time of the transfer (without regard to the 5-year holding period requirement).
(3)Certain rules made applicable
Rules similar to the rules of section 1244("&amp;"d)(2) shall apply for purposes of this section.
(4)Incorporations and reorganizations involving nonqualified stock
(A)In general
In the case of a transaction described in section 351 or a reorganization described in section 368, if qualified small busine"&amp;"ss stock is exchanged for other stock which would not qualify as qualified small business stock but for this subparagraph, such other stock shall be treated as qualified small business stock acquired on the date on which the exchanged stock was acquired.
"&amp;"
(B)Limitation
This section shall apply to gain from the sale or exchange of stock treated as qualified small business stock by reason of subparagraph (A) only to the extent of the gain which would have been recognized at the time of the transfer describe"&amp;"d in subparagraph (A) if section 351 or 368 had not applied at such time. The preceding sentence shall not apply if the stock which is treated as qualified small business stock by reason of subparagraph (A) is issued by a corporation which (as of the time"&amp;" of the transfer described in subparagraph (A)) is a qualified small business.
(C)Successive application
For purposes of this paragraph, stock treated as qualified small business stock under subparagraph (A) shall be so treated for subsequent transaction"&amp;"s or reorganizations, except that the limitation of subparagraph (B) shall be applied as of the time of the first transfer to which such limitation applied (determined after the application of the second sentence of subparagraph (B)).
(D)Control test
In "&amp;"the case of a transaction described in section 351, this paragraph shall apply only if, immediately after the transaction, the corporation issuing the stock owns directly or indirectly stock representing control (within the meaning of section 368(c)) of t"&amp;"he corporation whose stock was exchanged.
(i)Basis rules
For purposes of this section—
(1)Stock exchanged for property
In the case where the taxpayer transfers property (other than money or stock) to a corporation in exchange for stock in such corporatio"&amp;"n—
(A)such stock shall be treated as having been acquired by the taxpayer on the date of such exchange, and
(B)the basis of such stock in the hands of the taxpayer shall in no event be less than the fair market value of the property exchanged.
(2)Treatmen"&amp;"t of contributions to capital
If the adjusted basis of any qualified small business stock is adjusted by reason of any contribution to capital after the date on which such stock was originally issued, in determining the amount of the adjustment by reason "&amp;"of such contribution, the basis of the contributed property shall in no event be treated as less than its fair market value on the date of the contribution.
(j)Treatment of certain short positions
(1)In general
If the taxpayer has an offsetting short pos"&amp;"ition with respect to any qualified small business stock, subsection (a) shall not apply to any gain from the sale or exchange of such stock unless—
(A)such stock was held by the taxpayer for at least 3 years (more than 5 years in the case of stock acquir"&amp;"ed on or before the applicable date) as of the first day on which there was such a short position, and
(B)the taxpayer elects to recognize gain as if such stock were sold on such first day for its fair market value.
(2)Offsetting short position
For purpos"&amp;"es of paragraph (1), the taxpayer shall be treated as having an offsetting short position with respect to any qualified small business stock if—
(A)the taxpayer has made a short sale of substantially identical property,
(B)the taxpayer has acquired an opt"&amp;"ion to sell substantially identical property at a fixed price, or
(C)to the extent provided in regulations, the taxpayer has entered into any other transaction which substantially reduces the risk of loss from holding such qualified small business stock.
"&amp;"For purposes of the preceding sentence, any reference to the taxpayer shall be treated as including a reference to any person who is related (within the meaning of section 267(b) or 707(b)) to the taxpayer.
(k)Regulations
The Secretary shall prescribe suc"&amp;"h regulations as may be appropriate to carry out the purposes of this section, including regulations to prevent the avoidance of the purposes of this section through split-ups, shell corporations, partnerships, or otherwise.
(Added Pub. L. 103–66, title "&amp;"XIII, § 13113(a), Aug. 10, 1993, 107 Stat. 422; amended Pub. L. 104–188, title I, § 1621(b)(7), Aug. 20, 1996, 110 Stat. 1867; Pub. L. 106–554, § 1(a)(7) [title I, § 117(a), (b)(2)], Dec. 21, 2000, 114 Stat. 2763, 2763A–604; Pub. L. 108–357, title VIII, §"&amp;" 835(b)(9), Oct. 22, 2004, 118 Stat. 1594; Pub. L. 111–5, div. B, title I, § 1241(a), Feb. 17, 2009, 123 Stat. 342; Pub. L. 111–240, title II, § 2011(a), (b), Sept. 27, 2010, 124 Stat. 2554; Pub. L. 111–312, title VII, §§ 753(b), 760(a), Dec. 17, 2010, 12"&amp;"4 Stat. 3321, 3323; Pub. L. 112–240, title III, §§ 324(a), (b), 327(b), Jan. 2, 2013, 126 Stat. 2333, 2334; Pub. L. 113–295, div. A, title I, § 136(a), Dec. 19, 2014, 128 Stat. 4019; Pub. L. 114–113, div. Q, title I, § 126(a), Dec. 18, 2015, 129 Stat. 305"&amp;"4; Pub. L. 115–141, div. U, title IV, § 401(d)(1)(D)(xv), (4)(B)(v), Mar. 23, 2018, 132 Stat. 1208, 1209; Pub. L. 119–21, title VII, §§ 70302(b)(11), 70431(a)(1)–(3), (4)(B), (5), (b)(1)–(3), (c)(1), (2), July 4, 2025, 139 Stat. 192, 240–242.)")</f>
        <v>(a)Exclusion
(1)In general
In the case of a taxpayer other than a corporation, gross income shall not include—
(A)except as provided in paragraphs (3) and (4), 50 percent of any gain from the sale or exchange of qualified small business stock acquired on or before the applicable date and held for more than 5 years, and
(B)the applicable percentage of any gain from the sale or exchange of qualified small business stock acquired after the applicable date and held for at least 3 years.
(2)Empowerment zone businesses
(A)In general
In the case of qualified small business stock acquired after the date of the enactment of this paragraph in a corporation which is a qualified business entity (as defined in section 1397C(b)) during substantially all of the taxpayer’s holding period for such stock, paragraph (1) shall be applied by substituting “60 percent” for “50 percent”.
(B)Certain rules to apply
Rules similar to the rules of paragraphs (5) and (7) of section 1400B(b) (as in effect before its repeal) shall apply for purposes of this paragraph.
(C)Gain after 2018 not qualified
Subparagraph (A) shall not apply to gain attributable to periods after December 31, 2018.
(D)Treatment of DC zone
The District of Columbia Enterprise Zone shall not be treated as an empowerment zone for purposes of this paragraph.
(3)Special rules for 2009 and certain periods in 2010
In the case of qualified small business stock acquired after the date of the enactment of this paragraph and on or before the date of the enactment of the Creating Small Business Jobs Act of 2010—
(A)paragraph (1)(A) shall be applied by substituting “75 percent” for “50 percent”, and
(B)paragraph (2) shall not apply.
In the case of any stock which would be described in the preceding sentence (but for this sentence), the acquisition date for purposes of this subsection shall be the first day on which such stock was held by the taxpayer determined after the application of section 1223.
(4)100 percent exclusion for stock acquired during certain periods in 2010 and thereafter
In the case of qualified small business stock acquired after the date of the enactment of the Creating Small Business Jobs Act of 2010 and on or before the applicable date—
(A)paragraph (1)(A) shall be applied by substituting “100 percent” for “50 percent”,[1]
(B)paragraph (2) shall not apply.
In the case of any stock which would be described in the preceding sentence (but for this sentence), the acquisition date for purposes of this subsection shall be the first day on which such stock was held by the taxpayer determined after the application of section 1223.
(5)Applicable percentage
The applicable percentage under paragraph (1) shall be determined under the following table:
Years stock held:
Applicable
percentage:
3 years
50%
4 years
75%
5 years or more
100%
(6)Applicable date; acquisition date
For purposes of this section—
(A)Applicable date
The term “applicable date” means the date of the enactment of this paragraph.
(B)Acquisition date
In the case of any stock which would (but for this paragraph) be treated as having been acquired before, on, or after the applicable date, whichever is applicable, the acquisition date for purposes of this section shall be the first day on which such stock was held by the taxpayer determined after the application of section 1223.
(b)Per-issuer limitation on taxpayer’s eligible gain
(1)In general
If the taxpayer has eligible gain for the taxable year from 1 or more dispositions of stock issued by any corporation, the aggregate amount of such gain from dispositions of stock issued by such corporation which may be taken into account under subsection (a) for the taxable year shall not exceed the greater of—
(A)the applicable dollar limit for the taxable year, or
(B)10 times the aggregate adjusted bases of qualified small business stock issued by such corporation and disposed of by the taxpayer during the taxable year.
For purposes of subparagraph (B), the adjusted basis of any stock shall be determined without regard to any addition to basis after the date on which such stock was originally issued.
(2)Eligible gain
For purposes of this subsection, the term “eligible gain” means any gain from the sale or exchange of qualified small business stock held for at least 3 years (more than 5 years in the case of stock acquired on or before the applicable date).
(3)Treatment of married individuals
(A)Separate returns
In the case of a separate return by a married individual for any taxable year—
(i)paragraph (4)(A) shall be applied by substituting “$5,000,000” for “$10,000,000”, and
(ii)paragraph (4)(B) shall be applied by substituting one-half of the dollar amount in effect under such paragraph for the taxable year for the amount so in effect.
(B)Allocation of exclusion
In the case of any joint return, the amount of gain taken into account under subsection (a) shall be allocated equally between the spouses for purposes of applying this subsection to subsequent taxable years.
(C)Marital status
For purposes of this subsection, marital status shall be determined under section 7703.
(4) [2] Applicable dollar limit
For purposes of paragraph (1)(A), the applicable dollar limit for any taxable year with respect to eligible gain from 1 or more dispositions by a taxpayer of qualified business stock of a corporation is—
(A)if such stock was acquired by the taxpayer on or before the applicable date, $10,000,000, reduced by the aggregate amount of eligible gain taken into account by the taxpayer under subsection (a) for prior taxable years and attributable to dispositions of stock issued by such corporation and acquired by the taxpayer before, on, or after the applicable date, and
(B)if such stock was acquired by the taxpayer after the applicable date, $15,000,000, reduced by the sum of—
(i)the aggregate amount of eligible gain taken into account by the taxpayer under subsection (a) for prior taxable years and attributable to dispositions of stock issued by such corporation and acquired by the taxpayer before, on, or after the applicable date, plus
(ii)the aggregate amount of eligible gain taken into account by the taxpayer under subsection (a) for the taxable year and attributable to dispositions of stock issued by such corporation and acquired by the taxpayer on or before the applicable date.
(5)Inflation adjustment
(A)In general
In the case of any taxable year beginning after 2026, the $15,000,000 amount in paragraph (4)(B) shall be increased by an amount equal to—
(i)such dollar amount, multiplied by
(ii)the cost-of-living adjustment determined under section 1(f)(3) for the calendar year in which the taxable year begins, determined by substituting “calendar year 2025” for “calendar year 2016” in subparagraph (A)(ii) thereof.
If any increase under this subparagraph is not a multiple of $10,000, such increase shall be rounded to the nearest multiple of $10,000.
(B)No increase once limit reached
If, for any taxable year, the eligible gain attributable to dispositions of stock issued by a corporation and acquired by the taxpayer after the applicable date exceeds the applicable dollar limit, then notwithstanding any increase under subparagraph (A) for any subsequent taxable year, the applicable dollar limit for such subsequent taxable year shall be zero.
(4) 2 Inflation adjustment
In the case of any taxable year beginning after 2026, the $75,000,000 amounts in paragraphs (1)(A) and (1)(B) shall each be increased by an amount equal to—
(A)such dollar amount, multiplied by
(B)the cost-of-living adjustment determined under section 1(f)(3) for the calendar year in which the taxable year begins, determined by substituting “calendar year 2025” for “calendar year 2016” in subparagraph (A)(ii) thereof.
If any increase under this paragraph is not a multiple of $10,000, such increase shall be rounded to the nearest multiple of $10,000.
(c)Qualified small business stock
For purposes of this section—
(1)In general
Except as otherwise provided in this section, the term “qualified small business stock” means any stock in a C corporation which is originally issued after the date of the enactment of the Revenue Reconciliation Act of 1993, if—
(A)as of the date of issuance, such corporation is a qualified small business, and
(B)except as provided in subsections (f) and (h), such stock is acquired by the taxpayer at its original issue (directly or through an underwriter)—
(i)in exchange for money or other property (not including stock), or
(ii)as compensation for services provided to such corporation (other than services performed as an underwriter of such stock).
(2)Active business requirement; etc.
(A)In general
Stock in a corporation shall not be treated as qualified small business stock unless, during substantially all of the taxpayer’s holding period for such stock, such corporation meets the active business requirements of subsection (e) and such corporation is a C corporation.
(B)Special rule for certain small business investment companies
(i)Waiver of active business requirement
Notwithstanding any provision of subsection (e), a corporation shall be treated as meeting the active business requirements of such subsection for any period during which such corporation qualifies as a specialized small business investment company.
(ii)Specialized small business investment company
For purposes of clause (i), the term “specialized small business investment company” means any eligible corporation (as defined in subsection (e)(4)) which is licensed to operate under section 301(d) of the Small Business Investment Act of 1958 (as in effect on May 13, 1993).
(3)Certain purchases by corporation of its own stock
(A)Redemptions from taxpayer or related person
Stock acquired by the taxpayer shall not be treated as qualified small business stock if, at any time during the 4-year period beginning on the date 2 years before the issuance of such stock, the corporation issuing such stock purchased (directly or indirectly) any of its stock from the taxpayer or from a person related (within the meaning of section 267(b) or 707(b)) to the taxpayer.
(B)Significant redemptions
Stock issued by a corporation shall not be treated as qualified business stock if, during the 2-year period beginning on the date 1 year before the issuance of such stock, such corporation made 1 or more purchases of its stock with an aggregate value (as of the time of the respective purchases) exceeding 5 percent of the aggregate value of all of its stock as of the beginning of such 2-year period.
(C)Treatment of certain transactions
If any transaction is treated under section 304(a) as a distribution in redemption of the stock of any corporation, for purposes of subparagraphs (A) and (B), such corporation shall be treated as purchasing an amount of its stock equal to the amount treated as such a distribution under section 304(a).
(d)Qualified small business
For purposes of this section—
(1)In general
The term “qualified small business” means any domestic corporation which is a C corporation if—
(A)the aggregate gross assets of such corporation (or any predecessor thereof) at all times on or after the date of the enactment of the Revenue Reconciliation Act of 1993 and before the issuance did not exceed $75,000,000,
(B)the aggregate gross assets of such corporation immediately after the issuance (determined by taking into account amounts received in the issuance) do not exceed $75,000,000, and
(C)such corporation agrees to submit such reports to the Secretary and to shareholders as the Secretary may require to carry out the purposes of this section.
(2)Aggregate gross assets
(A)In general
For purposes of paragraph (1), the term “aggregate gross assets” means the amount of cash and the aggregate adjusted bases of other property held by the corporation.
(B)Treatment of contributed property
For purposes of subparagraph (A), the adjusted basis of any property contributed to the corporation (or other property with a basis determined in whole or in part by reference to the adjusted basis of property so contributed) shall be determined as if the basis of the property contributed to the corporation (immediately after such contribution) were equal to its fair market value as of the time of such contribution.
(3)Aggregation rules
(A)In general
All corporations which are members of the same parent-subsidiary controlled group shall be treated as 1 corporation for purposes of this subsection.
(B)Parent-subsidiary controlled group
For purposes of subparagraph (A), the term “parent-subsidiary controlled group” means any controlled group of corporations as defined in section 1563(a)(1), except that—
(i)“more than 50 percent” shall be substituted for “at least 80 percent” each place it appears in section 1563(a)(1), and
(ii)section 1563(a)(4) shall not apply.
(e)Active business requirement
(1)In general
For purposes of subsection (c)(2), the requirements of this subsection are met by a corporation for any period if during such period—
(A)at least 80 percent (by value) of the assets of such corporation are used by such corporation in the active conduct of 1 or more qualified trades or businesses, and
(B)such corporation is an eligible corporation.
(2)Special rule for certain activities
For purposes of paragraph (1), if, in connection with any future qualified trade or business, a corporation is engaged in—
(A)start-up activities described in section 195(c)(1)(A),
(B)activities resulting in the payment or incurring of expenditures which are treated as foreign research or experimental expenditures under section 174 or domestic research or experimental expenditures under section 174A, or
(C)activities with respect to in-house research expenses described in section 41(b)(4),
assets used in such activities shall be treated as used in the active conduct of a qualified trade or business. Any determination under this paragraph shall be made without regard to whether a corporation has any gross income from such activities at the time of the determination.
(3)Qualified trade or business
For purposes of this subsection, the term “qualified trade or business” means any trade or business other than—
(A)any trade or business involving the performance of services in the fields of health, law, engineering, architecture, accounting, actuarial science, performing arts, consulting, athletics, financial services, brokerage services, or any trade or business where the principal asset of such trade or business is the reputation or skill of 1 or more of its employees,
(B)any banking, insurance, financing, leasing, investing, or similar business,
(C)any farming business (including the business of raising or harvesting trees),
(D)any business involving the production or extraction of products of a character with respect to which a deduction is allowable under section 613 or 613A, and
(E)any business of operating a hotel, motel, restaurant, or similar business.
(4)Eligible corporation
For purposes of this subsection, the term “eligible corporation” means any domestic corporation; except that such term shall not include—
(A)a DISC or former DISC,
(B)a regulated investment company, real estate investment trust, or REMIC, and
(C)a cooperative.
(5)Stock in other corporations
(A)Look-thru in case of subsidiaries
For purposes of this subsection, stock and debt in any subsidiary corporation shall be disregarded and the parent corporation shall be deemed to own its ratable share of the subsidiary’s assets, and to conduct its ratable share of the subsidiary’s activities.
(B)Portfolio stock or securities
A corporation shall be treated as failing to meet the requirements of paragraph (1) for any period during which more than 10 percent of the value of its assets (in excess of liabilities) consists of stock or securities in other corporations which are not subsidiaries of such corporation (other than assets described in paragraph (6)).
(C)Subsidiary
For purposes of this paragraph, a corporation shall be considered a subsidiary if the parent owns more than 50 percent of the combined voting power of all classes of stock entitled to vote, or more than 50 percent in value of all outstanding stock, of such corporation.
(6)Working capital
For purposes of paragraph (1)(A), any assets which—
(A)are held as a part of the reasonably required working capital needs of a qualified trade or business of the corporation, or
(B)are held for investment and are reasonably expected to be used within 2 years to finance research and experimentation in a qualified trade or business or increases in working capital needs of a qualified trade or business,
shall be treated as used in the active conduct of a qualified trade or business. For periods after the corporation has been in existence for at least 2 years, in no event may more than 50 percent of the assets of the corporation qualify as used in the active conduct of a qualified trade or business by reason of this paragraph.
(7)Maximum real estate holdings
A corporation shall not be treated as meeting the requirements of paragraph (1) for any period during which more than 10 percent of the total value of its assets consists of real property which is not used in the active conduct of a qualified trade or business. For purposes of the preceding sentence, the ownership of, dealing in, or renting of real property shall not be treated as the active conduct of a qualified trade or business.
(8)Computer software royalties
For purposes of paragraph (1), rights to computer software which produces active business computer software royalties (within the meaning of section 543(d)(1)) shall be treated as an asset used in the active conduct of a trade or business.
(f)Stock acquired on conversion of other stock
If any stock in a corporation is acquired solely through the conversion of other stock in such corporation which is qualified small business stock in the hands of the taxpayer—
(1)the stock so acquired shall be treated as qualified small business stock in the hands of the taxpayer, and
(2)the stock so acquired shall be treated as having been held during the period during which the converted stock was held.
(g)Treatment of pass-thru entities
(1)In general
If any amount included in gross income by reason of holding an interest in a pass-thru entity meets the requirements of paragraph (2)—
(A)such amount shall be treated as gain described in subsection (a), and
(B)for purposes of applying subsection (b), such amount shall be treated as gain from a disposition of stock in the corporation issuing the stock disposed of by the pass-thru entity and the taxpayer’s proportionate share of the adjusted basis of the pass-thru entity in such stock shall be taken into account.
(2)Requirements
An amount meets the requirements of this paragraph if—
(A)such amount is attributable to gain on the sale or exchange by the pass-thru entity of stock which is qualified small business stock in the hands of such entity (determined by treating such entity as an individual) and which was held by such entity for at least 3 years (more than 5 years in the case of stock acquired on or before the applicable date), and
(B)such amount is includible in the gross income of the taxpayer by reason of the holding of an interest in such entity which was held by the taxpayer on the date on which such pass-thru entity acquired such stock and at all times thereafter before the disposition of such stock by such pass-thru entity.
(3)Limitation based on interest originally held by taxpayer
Paragraph (1) shall not apply to any amount to the extent such amount exceeds the amount to which paragraph (1) would have applied if such amount were determined by reference to the interest the taxpayer held in the pass-thru entity on the date the qualified small business stock was acquired.
(4)Pass-thru entity
For purposes of this subsection, the term “pass-thru entity” means—
(A)any partnership,
(B)any S corporation,
(C)any regulated investment company, and
(D)any common trust fund.
(h)Certain tax-free and other transfers
For purposes of this section—
(1)In general
In the case of a transfer described in paragraph (2), the transferee shall be treated as—
(A)having acquired such stock in the same manner as the transferor, and
(B)having held such stock during any continuous period immediately preceding the transfer during which it was held (or treated as held under this subsection) by the transferor.
(2)Description of transfers
A transfer is described in this subsection if such transfer is—
(A)by gift,
(B)at death, or
(C)from a partnership to a partner of stock with respect to which requirements similar to the requirements of subsection (g) are met at the time of the transfer (without regard to the 5-year holding period requirement).
(3)Certain rules made applicable
Rules similar to the rules of section 1244(d)(2) shall apply for purposes of this section.
(4)Incorporations and reorganizations involving nonqualified stock
(A)In general
In the case of a transaction described in section 351 or a reorganization described in section 368, if qualified small business stock is exchanged for other stock which would not qualify as qualified small business stock but for this subparagraph, such other stock shall be treated as qualified small business stock acquired on the date on which the exchanged stock was acquired.
(B)Limitation
This section shall apply to gain from the sale or exchange of stock treated as qualified small business stock by reason of subparagraph (A) only to the extent of the gain which would have been recognized at the time of the transfer described in subparagraph (A) if section 351 or 368 had not applied at such time. The preceding sentence shall not apply if the stock which is treated as qualified small business stock by reason of subparagraph (A) is issued by a corporation which (as of the time of the transfer described in subparagraph (A)) is a qualified small business.
(C)Successive application
For purposes of this paragraph, stock treated as qualified small business stock under subparagraph (A) shall be so treated for subsequent transactions or reorganizations, except that the limitation of subparagraph (B) shall be applied as of the time of the first transfer to which such limitation applied (determined after the application of the second sentence of subparagraph (B)).
(D)Control test
In the case of a transaction described in section 351, this paragraph shall apply only if, immediately after the transaction, the corporation issuing the stock owns directly or indirectly stock representing control (within the meaning of section 368(c)) of the corporation whose stock was exchanged.
(i)Basis rules
For purposes of this section—
(1)Stock exchanged for property
In the case where the taxpayer transfers property (other than money or stock) to a corporation in exchange for stock in such corporation—
(A)such stock shall be treated as having been acquired by the taxpayer on the date of such exchange, and
(B)the basis of such stock in the hands of the taxpayer shall in no event be less than the fair market value of the property exchanged.
(2)Treatment of contributions to capital
If the adjusted basis of any qualified small business stock is adjusted by reason of any contribution to capital after the date on which such stock was originally issued, in determining the amount of the adjustment by reason of such contribution, the basis of the contributed property shall in no event be treated as less than its fair market value on the date of the contribution.
(j)Treatment of certain short positions
(1)In general
If the taxpayer has an offsetting short position with respect to any qualified small business stock, subsection (a) shall not apply to any gain from the sale or exchange of such stock unless—
(A)such stock was held by the taxpayer for at least 3 years (more than 5 years in the case of stock acquired on or before the applicable date) as of the first day on which there was such a short position, and
(B)the taxpayer elects to recognize gain as if such stock were sold on such first day for its fair market value.
(2)Offsetting short position
For purposes of paragraph (1), the taxpayer shall be treated as having an offsetting short position with respect to any qualified small business stock if—
(A)the taxpayer has made a short sale of substantially identical property,
(B)the taxpayer has acquired an option to sell substantially identical property at a fixed price, or
(C)to the extent provided in regulations, the taxpayer has entered into any other transaction which substantially reduces the risk of loss from holding such qualified small business stock.
For purposes of the preceding sentence, any reference to the taxpayer shall be treated as including a reference to any person who is related (within the meaning of section 267(b) or 707(b)) to the taxpayer.
(k)Regulations
The Secretary shall prescribe such regulations as may be appropriate to carry out the purposes of this section, including regulations to prevent the avoidance of the purposes of this section through split-ups, shell corporations, partnerships, or otherwise.
(Added Pub. L. 103–66, title XIII, § 13113(a), Aug. 10, 1993, 107 Stat. 422; amended Pub. L. 104–188, title I, § 1621(b)(7), Aug. 20, 1996, 110 Stat. 1867; Pub. L. 106–554, § 1(a)(7) [title I, § 117(a), (b)(2)], Dec. 21, 2000, 114 Stat. 2763, 2763A–604; Pub. L. 108–357, title VIII, § 835(b)(9), Oct. 22, 2004, 118 Stat. 1594; Pub. L. 111–5, div. B, title I, § 1241(a), Feb. 17, 2009, 123 Stat. 342; Pub. L. 111–240, title II, § 2011(a), (b), Sept. 27, 2010, 124 Stat. 2554; Pub. L. 111–312, title VII, §§ 753(b), 760(a), Dec. 17, 2010, 124 Stat. 3321, 3323; Pub. L. 112–240, title III, §§ 324(a), (b), 327(b), Jan. 2, 2013, 126 Stat. 2333, 2334; Pub. L. 113–295, div. A, title I, § 136(a), Dec. 19, 2014, 128 Stat. 4019; Pub. L. 114–113, div. Q, title I, § 126(a), Dec. 18, 2015, 129 Stat. 3054; Pub. L. 115–141, div. U, title IV, § 401(d)(1)(D)(xv), (4)(B)(v), Mar. 23, 2018, 132 Stat. 1208, 1209; Pub. L. 119–21, title VII, §§ 70302(b)(11), 70431(a)(1)–(3), (4)(B), (5), (b)(1)–(3), (c)(1), (2), July 4, 2025, 139 Stat. 192, 240–242.)</v>
      </c>
      <c r="M17" s="4" t="str">
        <f>IFERROR(__xludf.DUMMYFUNCTION("""COMPUTED_VALUE"""),"IRC Section 1202 allows non-corporate taxpayers to exclude up to 100% of capital gains from qualified small business stock.")</f>
        <v>IRC Section 1202 allows non-corporate taxpayers to exclude up to 100% of capital gains from qualified small business stock.</v>
      </c>
      <c r="N17" s="4" t="str">
        <f>IFERROR(__xludf.DUMMYFUNCTION("""COMPUTED_VALUE"""),"Industries: [Technology, Manufacturing, Biotechnology, Healthcare, Aerospace] | Entities: [C Corporations, Partnerships, S Corporations]")</f>
        <v>Industries: [Technology, Manufacturing, Biotechnology, Healthcare, Aerospace] | Entities: [C Corporations, Partnerships, S Corporations]</v>
      </c>
      <c r="O17" s="4" t="str">
        <f>IFERROR(__xludf.DUMMYFUNCTION("""COMPUTED_VALUE"""),"Stock Issuance Records, Cap Table, Common Stock Ledger, Purchase Agreements, Capital Account, Equity Transactions, Original Issue Date, Consideration Paid (Cash/Property/Services), Aggregate Gross Assets (at and after issuance), Shareholder Entity Type, H"&amp;"olding Period Tracker, Form 1120 (C-Corp verification)")</f>
        <v>Stock Issuance Records, Cap Table, Common Stock Ledger, Purchase Agreements, Capital Account, Equity Transactions, Original Issue Date, Consideration Paid (Cash/Property/Services), Aggregate Gross Assets (at and after issuance), Shareholder Entity Type, Holding Period Tracker, Form 1120 (C-Corp verification)</v>
      </c>
      <c r="P17" s="4" t="str">
        <f>IFERROR(__xludf.DUMMYFUNCTION("""COMPUTED_VALUE"""),"🚨 Important: Qualified Small Business Stock (QSBS) Tax Exclusion for [Entity]
How this affects you::
Maximize your exit strategy by leveraging the IRC Section 1202 exclusion. For eligible stock, you can exclude up to 100% of capital gains from your gros"&amp;"s income. Based on your \[Stock\_Basis\], your potential \[Exclusion\_Amount\] is capped at the greater of $10M ($15M for post-2025 issuances) or 10 times your initial basis, effectively reducing your federal tax rate on the sale to 0%.
✅ \[Eligibility\_"&amp;"Check\] Verify the entity is a domestic C-Corp and meets active business requirements
✅ \[Eligibility\_Check\] Confirm aggregate gross assets did not exceed $50M ($75M for post-2025 issuances) at issuance
✅ \[Holding\_Period\] Track your \[Holding\_Period"&amp;"\] to ensure it meets the 5-year requirement for a 100% exclusion
📚 Source: IRC Section 1202
⚠️ Disclaimer: This template is for informational purposes only. Tax laws are subject to change and individual circumstances vary. Please consult with a qualif"&amp;"ied tax professional to confirm eligibility and compliance for your specific entity.")</f>
        <v>🚨 Important: Qualified Small Business Stock (QSBS) Tax Exclusion for [Entity]
How this affects you::
Maximize your exit strategy by leveraging the IRC Section 1202 exclusion. For eligible stock, you can exclude up to 100% of capital gains from your gross income. Based on your \[Stock\_Basis\], your potential \[Exclusion\_Amount\] is capped at the greater of $10M ($15M for post-2025 issuances) or 10 times your initial basis, effectively reducing your federal tax rate on the sale to 0%.
✅ \[Eligibility\_Check\] Verify the entity is a domestic C-Corp and meets active business requirements
✅ \[Eligibility\_Check\] Confirm aggregate gross assets did not exceed $50M ($75M for post-2025 issuances) at issuance
✅ \[Holding\_Period\] Track your \[Holding\_Period\] to ensure it meets the 5-year requirement for a 100% exclusion
📚 Source: IRC Section 1202
⚠️ Disclaimer: This template is for informational purposes only. Tax laws are subject to change and individual circumstances vary. Please consult with a qualified tax professional to confirm eligibility and compliance for your specific entity.</v>
      </c>
      <c r="Q17" s="4" t="str">
        <f>IFERROR(__xludf.DUMMYFUNCTION("""COMPUTED_VALUE"""),"IRC Section 1202 significantly increases exit proceeds by allowing non-corporate shareholders to exclude up to 100% of capital gains from the sale of qualified small business stock, potentially reducing the effective tax rate on those gains to zero.")</f>
        <v>IRC Section 1202 significantly increases exit proceeds by allowing non-corporate shareholders to exclude up to 100% of capital gains from the sale of qualified small business stock, potentially reducing the effective tax rate on those gains to zero.</v>
      </c>
      <c r="R17" s="18" t="str">
        <f>IFERROR(__xludf.DUMMYFUNCTION("""COMPUTED_VALUE"""),"https://www.law.cornell.edu/uscode/text/26/1202")</f>
        <v>https://www.law.cornell.edu/uscode/text/26/1202</v>
      </c>
      <c r="S17" s="19">
        <f>IFERROR(__xludf.DUMMYFUNCTION("""COMPUTED_VALUE"""),46023.0)</f>
        <v>46023</v>
      </c>
      <c r="T17" s="4" t="str">
        <f>IFERROR(__xludf.DUMMYFUNCTION("""COMPUTED_VALUE"""),"ACTIVE")</f>
        <v>ACTIVE</v>
      </c>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H2"/>
    <hyperlink r:id="rId2" ref="R2"/>
    <hyperlink r:id="rId3" ref="H3"/>
    <hyperlink r:id="rId4" ref="R3"/>
    <hyperlink r:id="rId5" ref="H4"/>
    <hyperlink r:id="rId6" ref="R4"/>
    <hyperlink r:id="rId7" ref="H5"/>
    <hyperlink r:id="rId8" ref="R5"/>
    <hyperlink r:id="rId9" ref="H7"/>
    <hyperlink r:id="rId10" ref="R7"/>
    <hyperlink r:id="rId11" ref="H8"/>
    <hyperlink r:id="rId12" ref="R8"/>
    <hyperlink r:id="rId13" ref="H9"/>
    <hyperlink r:id="rId14" ref="R9"/>
    <hyperlink r:id="rId15" ref="H10"/>
    <hyperlink r:id="rId16" ref="R10"/>
    <hyperlink r:id="rId17" ref="H11"/>
    <hyperlink r:id="rId18" ref="R11"/>
    <hyperlink r:id="rId19" ref="H12"/>
    <hyperlink r:id="rId20" ref="R12"/>
    <hyperlink r:id="rId21" ref="H13"/>
    <hyperlink r:id="rId22" ref="R13"/>
    <hyperlink r:id="rId23" ref="H14"/>
    <hyperlink r:id="rId24" ref="R14"/>
    <hyperlink r:id="rId25" ref="H15"/>
    <hyperlink r:id="rId26" ref="R15"/>
    <hyperlink r:id="rId27" ref="H16"/>
    <hyperlink r:id="rId28" ref="R16"/>
    <hyperlink r:id="rId29" ref="H17"/>
    <hyperlink r:id="rId30" ref="R17"/>
  </hyperlinks>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5" t="s">
        <v>207</v>
      </c>
      <c r="B1" s="15" t="s">
        <v>208</v>
      </c>
      <c r="C1" s="15" t="s">
        <v>106</v>
      </c>
      <c r="D1" s="15" t="s">
        <v>209</v>
      </c>
      <c r="E1" s="15" t="s">
        <v>108</v>
      </c>
      <c r="F1" s="15" t="s">
        <v>110</v>
      </c>
      <c r="G1" s="15" t="s">
        <v>111</v>
      </c>
      <c r="H1" s="15" t="s">
        <v>103</v>
      </c>
      <c r="I1" s="4"/>
      <c r="J1" s="4"/>
      <c r="K1" s="4"/>
      <c r="L1" s="4"/>
      <c r="M1" s="4"/>
      <c r="N1" s="4"/>
      <c r="O1" s="4"/>
      <c r="P1" s="4"/>
      <c r="Q1" s="4"/>
      <c r="R1" s="4"/>
      <c r="S1" s="4"/>
      <c r="T1" s="4"/>
      <c r="U1" s="4"/>
      <c r="V1" s="4"/>
      <c r="W1" s="4"/>
      <c r="X1" s="4"/>
      <c r="Y1" s="4"/>
      <c r="Z1" s="4"/>
    </row>
    <row r="2">
      <c r="A2" s="20" t="str">
        <f>"v"&amp;Rules_Production!M1</f>
        <v>vv202605</v>
      </c>
      <c r="B2" s="20">
        <f>NOW()</f>
        <v>46168.66816</v>
      </c>
      <c r="C2" s="20" t="str">
        <f>IFERROR(__xludf.DUMMYFUNCTION("IFERROR(FILTER(Rules_Production!K2:K100, Rules_Production!T2:T100=""ACTIVE""), """")"),"§168")</f>
        <v>§168</v>
      </c>
      <c r="D2" s="20" t="str">
        <f>IFERROR(__xludf.DUMMYFUNCTION("IFERROR(FILTER(Rules_Production!M2:M100, Rules_Production!T2:T100=""ACTIVE""), """")"),"Businesses can immediately deduct 100% of the cost of certain qualified property in the first year.")</f>
        <v>Businesses can immediately deduct 100% of the cost of certain qualified property in the first year.</v>
      </c>
      <c r="E2" s="20" t="str">
        <f>IFERROR(__xludf.DUMMYFUNCTION("IFERROR(FILTER(Rules_Production!N2:N100, Rules_Production!T2:T100=""ACTIVE""), """")"),"Industries: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F2" s="20" t="str">
        <f>IFERROR(__xludf.DUMMYFUNCTION("IFERROR(FILTER(Rules_Production!P2:P100, Rules_Production!T2:T100=""ACTIVE""), """")"),"🚨 Important: Bonus Depreciation Update for [Entity]
How this affects you::
As of [Date], your business may be eligible for a 100% immediate deduction on the [Amount] adjusted basis of qualified property placed in service this year. This ""bonus deprecia"&amp;"tion"" allows you to write off the full cost of assets like equipment, certain software, and specific productions in a single taxable year rather than over time.
✅ Verify your property has a recovery period of 20 years or less or is qualified computer so"&amp;"ftware
✅ Ensure the original use of the property began with your entity or meets specific acquisition requirements
✅ Confirm the asset was placed in service by the applicable [Date] deadline to qualify for the full 100% allowance
📚 Source: IRC Section 1"&amp;"68(k)
⚠️ Disclaimer: This template is for informational purposes only. Tax laws are subject to change and individual circumstances vary. Please consult with a qualified tax professional to confirm eligibility and compliance for your specific entity.")</f>
        <v>🚨 Important: Bonus Depreciation Update for [Entity]
How this affects you::
As of [Date], your business may be eligible for a 100% immediate deduction on the [Amount] adjusted basis of qualified property placed in service this year. This "bonus depreciation" allows you to write off the full cost of assets like equipment, certain software, and specific productions in a single taxable year rather than over time.
✅ Verify your property has a recovery period of 20 years or less or is qualified computer software
✅ Ensure the original use of the property began with your entity or meets specific acquisition requirements
✅ Confirm the asset was placed in service by the applicable [Date] deadline to qualify for the full 100% allowance
📚 Source: IRC Section 168(k)
⚠️ Disclaimer: This template is for informational purposes only. Tax laws are subject to change and individual circumstances vary. Please consult with a qualified tax professional to confirm eligibility and compliance for your specific entity.</v>
      </c>
      <c r="G2" s="20" t="str">
        <f>IFERROR(__xludf.DUMMYFUNCTION("IFERROR(FILTER(Rules_Production!Q2:Q100, Rules_Production!T2:T100=""ACTIVE""), """")"),"IRC Section 168 provides an immediate 100% bonus depreciation deduction for qualified property, which lowers your taxable income and can significantly reduce your effective tax rate in the year assets are placed in service.")</f>
        <v>IRC Section 168 provides an immediate 100% bonus depreciation deduction for qualified property, which lowers your taxable income and can significantly reduce your effective tax rate in the year assets are placed in service.</v>
      </c>
      <c r="H2" s="20" t="str">
        <f>IFERROR(__xludf.DUMMYFUNCTION("IFERROR(FILTER(Rules_Production!T2:T100, Rules_Production!T2:T100=""ACTIVE""), """")"),"ACTIVE")</f>
        <v>ACTIVE</v>
      </c>
      <c r="I2" s="4"/>
      <c r="J2" s="4"/>
      <c r="K2" s="4"/>
      <c r="L2" s="4"/>
      <c r="M2" s="4"/>
      <c r="N2" s="4"/>
      <c r="O2" s="4"/>
      <c r="P2" s="4"/>
      <c r="Q2" s="4"/>
      <c r="R2" s="4"/>
      <c r="S2" s="4"/>
      <c r="T2" s="4"/>
      <c r="U2" s="4"/>
      <c r="V2" s="4"/>
      <c r="W2" s="4"/>
      <c r="X2" s="4"/>
      <c r="Y2" s="4"/>
      <c r="Z2" s="4"/>
    </row>
    <row r="3">
      <c r="A3" s="20"/>
      <c r="B3" s="20"/>
      <c r="C3" s="20" t="str">
        <f>IFERROR(__xludf.DUMMYFUNCTION("""COMPUTED_VALUE"""),"§179")</f>
        <v>§179</v>
      </c>
      <c r="D3" s="20" t="str">
        <f>IFERROR(__xludf.DUMMYFUNCTION("""COMPUTED_VALUE"""),"Businesses can immediately deduct the full cost of qualifying equipment and software instead of depreciating it over time.")</f>
        <v>Businesses can immediately deduct the full cost of qualifying equipment and software instead of depreciating it over time.</v>
      </c>
      <c r="E3" s="20" t="str">
        <f>IFERROR(__xludf.DUMMYFUNCTION("""COMPUTED_VALUE"""),"Industries: [Motion Picture and Video, Sound Recording, Performing Arts, Agriculture, Transportation] | Entities: [Corporations, Limited Liability Companies, Partnerships]")</f>
        <v>Industries: [Motion Picture and Video, Sound Recording, Performing Arts, Agriculture, Transportation] | Entities: [Corporations, Limited Liability Companies, Partnerships]</v>
      </c>
      <c r="F3" s="20" t="str">
        <f>IFERROR(__xludf.DUMMYFUNCTION("""COMPUTED_VALUE"""),"🚨 Important: Section 179 Expensing Update for [Entity]
How this affects you::
Great news for [Year]\! Based on your [R&amp;D_Spend] in qualifying property investments, your business could be eligible for a significant tax deduction. We estimate your potenti"&amp;"al credit at [Credit_Estimate]. This incentive allows [Entity] to treat the cost of qualifying section 179 property—like equipment, software, and certain real property improvements—as an immediate expense rather than a capital charge. For the [Year] taxab"&amp;"le year, you can deduct up to $2,500,000 of the adjusted basis for assets placed in service this year.
✅ File Form 6765 to elect and claim your specific section 179 deductions
✅ Schedule a CPA review to ensure your property meet ""active conduct of trade"&amp;" or business"" requirements
✅ Update your QuickBooks tagging for all fixed assets to automate tracking and compliance
📚 Source: IRC Section 179
⚠️ Disclaimer: This template is for informational purposes only. Tax laws are subject to change and individu"&amp;"al circumstances vary. Please consult with a qualified tax professional to confirm eligibility and compliance for your specific entity.")</f>
        <v>🚨 Important: Section 179 Expensing Update for [Entity]
How this affects you::
Great news for [Year]\! Based on your [R&amp;D_Spend] in qualifying property investments, your business could be eligible for a significant tax deduction. We estimate your potential credit at [Credit_Estimate]. This incentive allows [Entity] to treat the cost of qualifying section 179 property—like equipment, software, and certain real property improvements—as an immediate expense rather than a capital charge. For the [Year] taxable year, you can deduct up to $2,500,000 of the adjusted basis for assets placed in service this year.
✅ File Form 6765 to elect and claim your specific section 179 deductions
✅ Schedule a CPA review to ensure your property meet "active conduct of trade or business" requirements
✅ Update your QuickBooks tagging for all fixed assets to automate tracking and compliance
📚 Source: IRC Section 179
⚠️ Disclaimer: This template is for informational purposes only. Tax laws are subject to change and individual circumstances vary. Please consult with a qualified tax professional to confirm eligibility and compliance for your specific entity.</v>
      </c>
      <c r="G3" s="20" t="str">
        <f>IFERROR(__xludf.DUMMYFUNCTION("""COMPUTED_VALUE"""),"IRC Section 179 provides an immediate deduction for equipment and software costs, which lowers taxable income and reduces your effective tax rate in the year these assets are placed in service.")</f>
        <v>IRC Section 179 provides an immediate deduction for equipment and software costs, which lowers taxable income and reduces your effective tax rate in the year these assets are placed in service.</v>
      </c>
      <c r="H3" s="20" t="str">
        <f>IFERROR(__xludf.DUMMYFUNCTION("""COMPUTED_VALUE"""),"ACTIVE")</f>
        <v>ACTIVE</v>
      </c>
      <c r="I3" s="4"/>
      <c r="J3" s="4"/>
      <c r="K3" s="4"/>
      <c r="L3" s="4"/>
      <c r="M3" s="4"/>
      <c r="N3" s="4"/>
      <c r="O3" s="4"/>
      <c r="P3" s="4"/>
      <c r="Q3" s="4"/>
      <c r="R3" s="4"/>
      <c r="S3" s="4"/>
      <c r="T3" s="4"/>
      <c r="U3" s="4"/>
      <c r="V3" s="4"/>
      <c r="W3" s="4"/>
      <c r="X3" s="4"/>
      <c r="Y3" s="4"/>
      <c r="Z3" s="4"/>
    </row>
    <row r="4">
      <c r="A4" s="20"/>
      <c r="B4" s="20"/>
      <c r="C4" s="20" t="str">
        <f>IFERROR(__xludf.DUMMYFUNCTION("""COMPUTED_VALUE"""),"§41")</f>
        <v>§41</v>
      </c>
      <c r="D4" s="20" t="str">
        <f>IFERROR(__xludf.DUMMYFUNCTION("""COMPUTED_VALUE"""),"Businesses and startups qualify for a tax credit worth 14% to 20% of qualified research expenses.")</f>
        <v>Businesses and startups qualify for a tax credit worth 14% to 20% of qualified research expenses.</v>
      </c>
      <c r="E4" s="20" t="str">
        <f>IFERROR(__xludf.DUMMYFUNCTION("""COMPUTED_VALUE"""),"Industries: [Technology, Life Sciences, Manufacturing, Biotechnology, Aerospace] | Entities: [Corporations, Partnerships, Limited Liability Companies]")</f>
        <v>Industries: [Technology, Life Sciences, Manufacturing, Biotechnology, Aerospace] | Entities: [Corporations, Partnerships, Limited Liability Companies]</v>
      </c>
      <c r="F4" s="20" t="str">
        <f>IFERROR(__xludf.DUMMYFUNCTION("""COMPUTED_VALUE"""),"🚨 Important: Research &amp; Development Tax Credit for [Entity]
How this affects you::
Great news for [Year]\! Based on your [R&amp;D_Spend] in qualified research expenses, your business could be eligible for a significant tax credit. We estimate your potential"&amp;" credit at [Credit_Estimate]. This incentive is designed to reward your innovation by allowing you to claim a credit for wages, supplies, and contract research, helping you reinvest in your company's growth.
✅ Ensure all qualified expenses are properly d"&amp;"ocumented for Form 6765
✅ Schedule a CPA review to verify your eligibility and maximize your credit
✅ Confirm that all R\&amp;D-related transactions are correctly tagged in QuickBooks
📚 Source: IRC Section 41
⚠️ Disclaimer: This template is for information"&amp;"al purposes only. Tax laws are subject to change and individual circumstances vary. Please consult with a qualified tax professional to confirm eligibility and compliance for your specific entity.")</f>
        <v>🚨 Important: Research &amp; Development Tax Credit for [Entity]
How this affects you::
Great news for [Year]\! Based on your [R&amp;D_Spend] in qualified research expenses, your business could be eligible for a significant tax credit. We estimate your potential credit at [Credit_Estimate]. This incentive is designed to reward your innovation by allowing you to claim a credit for wages, supplies, and contract research, helping you reinvest in your company's growth.
✅ Ensure all qualified expenses are properly documented for Form 6765
✅ Schedule a CPA review to verify your eligibility and maximize your credit
✅ Confirm that all R\&amp;D-related transactions are correctly tagged in QuickBooks
📚 Source: IRC Section 41
⚠️ Disclaimer: This template is for informational purposes only. Tax laws are subject to change and individual circumstances vary. Please consult with a qualified tax professional to confirm eligibility and compliance for your specific entity.</v>
      </c>
      <c r="G4" s="20" t="str">
        <f>IFERROR(__xludf.DUMMYFUNCTION("""COMPUTED_VALUE"""),"IRC Section 41 provides a dollar-for-dollar credit that directly reduces your effective tax rate while incentivizing a higher R&amp;D intensity by lowering the after-tax cost of innovation.")</f>
        <v>IRC Section 41 provides a dollar-for-dollar credit that directly reduces your effective tax rate while incentivizing a higher R&amp;D intensity by lowering the after-tax cost of innovation.</v>
      </c>
      <c r="H4" s="20" t="str">
        <f>IFERROR(__xludf.DUMMYFUNCTION("""COMPUTED_VALUE"""),"ACTIVE")</f>
        <v>ACTIVE</v>
      </c>
      <c r="I4" s="4"/>
      <c r="J4" s="4"/>
      <c r="K4" s="4"/>
      <c r="L4" s="4"/>
      <c r="M4" s="4"/>
      <c r="N4" s="4"/>
      <c r="O4" s="4"/>
      <c r="P4" s="4"/>
      <c r="Q4" s="4"/>
      <c r="R4" s="4"/>
      <c r="S4" s="4"/>
      <c r="T4" s="4"/>
      <c r="U4" s="4"/>
      <c r="V4" s="4"/>
      <c r="W4" s="4"/>
      <c r="X4" s="4"/>
      <c r="Y4" s="4"/>
      <c r="Z4" s="4"/>
    </row>
    <row r="5">
      <c r="A5" s="20"/>
      <c r="B5" s="20"/>
      <c r="C5" s="20" t="str">
        <f>IFERROR(__xludf.DUMMYFUNCTION("""COMPUTED_VALUE"""),"§3121")</f>
        <v>§3121</v>
      </c>
      <c r="D5" s="20" t="str">
        <f>IFERROR(__xludf.DUMMYFUNCTION("""COMPUTED_VALUE"""),"IRC §3121 limits FICA taxes to the first $184,500 of an employee's wages in 2026.")</f>
        <v>IRC §3121 limits FICA taxes to the first $184,500 of an employee's wages in 2026.</v>
      </c>
      <c r="E5" s="20" t="str">
        <f>IFERROR(__xludf.DUMMYFUNCTION("""COMPUTED_VALUE"""),"Industries: [Technology, Professional Services, Finance, Healthcare, Manufacturing] | Entities: [Corporations, Limited Liability Companies, Partnerships]")</f>
        <v>Industries: [Technology, Professional Services, Finance, Healthcare, Manufacturing] | Entities: [Corporations, Limited Liability Companies, Partnerships]</v>
      </c>
      <c r="F5" s="20" t="str">
        <f>IFERROR(__xludf.DUMMYFUNCTION("""COMPUTED_VALUE"""),"🚨 Important: FICA Wage Base Limit Update for [Entity]
How this affects you::
For the 2026 tax year, the Social Security wage base is set at [Wage_Base]. This means that for your [Employee_Count] employees, any wages paid above this threshold are exempt "&amp;"from the 6.2% Social Security tax. Once an employee's year-to-date earnings surpass this limit, you should stop withholding the 6.2% employee portion and stop paying the 6.2% employer portion for the remainder of the year.
✅ Perform a payroll review to i"&amp;"dentify employees approaching the [Wage_Base] limit
✅ Verify that year-to-end W-2 wage reporting correctly reflects the Social Security cap
✅ Ensure all high-earner payroll items are correctly tagged in QuickBooks for accurate tax tracking
📚 Source: IRC"&amp;" Section 3121
⚠️ Disclaimer: This template is for informational purposes only. Tax laws are subject to change and individual circumstances vary. Please consult with a qualified tax professional to confirm eligibility and compliance for your specific enti"&amp;"ty.")</f>
        <v>🚨 Important: FICA Wage Base Limit Update for [Entity]
How this affects you::
For the 2026 tax year, the Social Security wage base is set at [Wage_Base]. This means that for your [Employee_Count] employees, any wages paid above this threshold are exempt from the 6.2% Social Security tax. Once an employee's year-to-date earnings surpass this limit, you should stop withholding the 6.2% employee portion and stop paying the 6.2% employer portion for the remainder of the year.
✅ Perform a payroll review to identify employees approaching the [Wage_Base] limit
✅ Verify that year-to-end W-2 wage reporting correctly reflects the Social Security cap
✅ Ensure all high-earner payroll items are correctly tagged in QuickBooks for accurate tax tracking
📚 Source: IRC Section 3121
⚠️ Disclaimer: This template is for informational purposes only. Tax laws are subject to change and individual circumstances vary. Please consult with a qualified tax professional to confirm eligibility and compliance for your specific entity.</v>
      </c>
      <c r="G5" s="20" t="str">
        <f>IFERROR(__xludf.DUMMYFUNCTION("""COMPUTED_VALUE"""),"IRC Section 3121 improves cash flow and lowers your effective payroll tax ratio by exempting employee wages above $184,500 from the 6.2% Social Security tax.")</f>
        <v>IRC Section 3121 improves cash flow and lowers your effective payroll tax ratio by exempting employee wages above $184,500 from the 6.2% Social Security tax.</v>
      </c>
      <c r="H5" s="20" t="str">
        <f>IFERROR(__xludf.DUMMYFUNCTION("""COMPUTED_VALUE"""),"ACTIVE")</f>
        <v>ACTIVE</v>
      </c>
      <c r="I5" s="4"/>
      <c r="J5" s="4"/>
      <c r="K5" s="4"/>
      <c r="L5" s="4"/>
      <c r="M5" s="4"/>
      <c r="N5" s="4"/>
      <c r="O5" s="4"/>
      <c r="P5" s="4"/>
      <c r="Q5" s="4"/>
      <c r="R5" s="4"/>
      <c r="S5" s="4"/>
      <c r="T5" s="4"/>
      <c r="U5" s="4"/>
      <c r="V5" s="4"/>
      <c r="W5" s="4"/>
      <c r="X5" s="4"/>
      <c r="Y5" s="4"/>
      <c r="Z5" s="4"/>
    </row>
    <row r="6">
      <c r="A6" s="20"/>
      <c r="B6" s="20"/>
      <c r="C6" s="20"/>
      <c r="D6" s="20"/>
      <c r="E6" s="20"/>
      <c r="F6" s="20"/>
      <c r="G6" s="20"/>
      <c r="H6" s="20" t="str">
        <f>IFERROR(__xludf.DUMMYFUNCTION("""COMPUTED_VALUE"""),"ACTIVE")</f>
        <v>ACTIVE</v>
      </c>
      <c r="I6" s="4"/>
      <c r="J6" s="4"/>
      <c r="K6" s="4"/>
      <c r="L6" s="4"/>
      <c r="M6" s="4"/>
      <c r="N6" s="4"/>
      <c r="O6" s="4"/>
      <c r="P6" s="4"/>
      <c r="Q6" s="4"/>
      <c r="R6" s="4"/>
      <c r="S6" s="4"/>
      <c r="T6" s="4"/>
      <c r="U6" s="4"/>
      <c r="V6" s="4"/>
      <c r="W6" s="4"/>
      <c r="X6" s="4"/>
      <c r="Y6" s="4"/>
      <c r="Z6" s="4"/>
    </row>
    <row r="7">
      <c r="A7" s="20"/>
      <c r="B7" s="20"/>
      <c r="C7" s="20" t="str">
        <f>IFERROR(__xludf.DUMMYFUNCTION("""COMPUTED_VALUE"""),"§199A")</f>
        <v>§199A</v>
      </c>
      <c r="D7" s="20" t="str">
        <f>IFERROR(__xludf.DUMMYFUNCTION("""COMPUTED_VALUE"""),"Eligible pass-through business owners can deduct up to 20% of their qualified business income from their taxable income.")</f>
        <v>Eligible pass-through business owners can deduct up to 20% of their qualified business income from their taxable income.</v>
      </c>
      <c r="E7" s="20" t="str">
        <f>IFERROR(__xludf.DUMMYFUNCTION("""COMPUTED_VALUE"""),"Industries: [Agriculture, Manufacturing, Real Estate, Professional Services, Retail] | Entities: [S Corporations, Partnerships, Sole Proprietorships]")</f>
        <v>Industries: [Agriculture, Manufacturing, Real Estate, Professional Services, Retail] | Entities: [S Corporations, Partnerships, Sole Proprietorships]</v>
      </c>
      <c r="F7" s="20" t="str">
        <f>IFERROR(__xludf.DUMMYFUNCTION("""COMPUTED_VALUE"""),"🚨 Important: Qualified Business Income Deduction Update for [Entity]
How this affects you::
Great news\! Based on your [QBI_Amount] in qualified business income, your entity may be eligible for a deduction of up to 20%, estimated at [Deduction_Estimate]"&amp;". This deduction can significantly reduce your taxable income. Please note that if your business is a Specified Service Trade or Business (SSTB), the deduction may be limited or phased out based on your total taxable income and the \[W2_Wages] paid by the"&amp;" business.
✅ Verify if your total taxable income is below the threshold for the full 20% deduction
✅ Review your \[W2_Wages] and unadjusted basis immediately after acquisition (UBIA) of qualified property to determine if wage and property limitations app"&amp;"ly
✅ Consult with a CPA to confirm your business classification and maximize your eligible deduction
📚 Source: IRC Section 199A
⚠️ Disclaimer: This template is for informational purposes only. Tax laws are subject to change and individual circumstances"&amp;" vary. Please consult with a qualified tax professional to confirm eligibility and compliance for your specific entity.")</f>
        <v>🚨 Important: Qualified Business Income Deduction Update for [Entity]
How this affects you::
Great news\! Based on your [QBI_Amount] in qualified business income, your entity may be eligible for a deduction of up to 20%, estimated at [Deduction_Estimate]. This deduction can significantly reduce your taxable income. Please note that if your business is a Specified Service Trade or Business (SSTB), the deduction may be limited or phased out based on your total taxable income and the \[W2_Wages] paid by the business.
✅ Verify if your total taxable income is below the threshold for the full 20% deduction
✅ Review your \[W2_Wages] and unadjusted basis immediately after acquisition (UBIA) of qualified property to determine if wage and property limitations apply
✅ Consult with a CPA to confirm your business classification and maximize your eligible deduction
📚 Source: IRC Section 199A
⚠️ Disclaimer: This template is for informational purposes only. Tax laws are subject to change and individual circumstances vary. Please consult with a qualified tax professional to confirm eligibility and compliance for your specific entity.</v>
      </c>
      <c r="G7" s="20" t="str">
        <f>IFERROR(__xludf.DUMMYFUNCTION("""COMPUTED_VALUE"""),"IRC Section 199A provides a deduction of up to 20% of qualified business income for pass-through entities, which effectively lowers your business's tax rate and increases retained owner equity.")</f>
        <v>IRC Section 199A provides a deduction of up to 20% of qualified business income for pass-through entities, which effectively lowers your business's tax rate and increases retained owner equity.</v>
      </c>
      <c r="H7" s="20" t="str">
        <f>IFERROR(__xludf.DUMMYFUNCTION("""COMPUTED_VALUE"""),"ACTIVE")</f>
        <v>ACTIVE</v>
      </c>
      <c r="I7" s="4"/>
      <c r="J7" s="4"/>
      <c r="K7" s="4"/>
      <c r="L7" s="4"/>
      <c r="M7" s="4"/>
      <c r="N7" s="4"/>
      <c r="O7" s="4"/>
      <c r="P7" s="4"/>
      <c r="Q7" s="4"/>
      <c r="R7" s="4"/>
      <c r="S7" s="4"/>
      <c r="T7" s="4"/>
      <c r="U7" s="4"/>
      <c r="V7" s="4"/>
      <c r="W7" s="4"/>
      <c r="X7" s="4"/>
      <c r="Y7" s="4"/>
      <c r="Z7" s="4"/>
    </row>
    <row r="8">
      <c r="A8" s="20"/>
      <c r="B8" s="20"/>
      <c r="C8" s="20" t="str">
        <f>IFERROR(__xludf.DUMMYFUNCTION("""COMPUTED_VALUE"""),"§174")</f>
        <v>§174</v>
      </c>
      <c r="D8" s="20" t="str">
        <f>IFERROR(__xludf.DUMMYFUNCTION("""COMPUTED_VALUE"""),"Foreign research and experimental expenditures must be capitalized and amortized over a 15-year period.")</f>
        <v>Foreign research and experimental expenditures must be capitalized and amortized over a 15-year period.</v>
      </c>
      <c r="E8" s="20" t="str">
        <f>IFERROR(__xludf.DUMMYFUNCTION("""COMPUTED_VALUE"""),"Industries: [Biotechnology, Software Development, Pharmaceuticals, Technology, Manufacturing] | Entities: [Corporations, Partnerships, Limited Liability Companies]")</f>
        <v>Industries: [Biotechnology, Software Development, Pharmaceuticals, Technology, Manufacturing] | Entities: [Corporations, Partnerships, Limited Liability Companies]</v>
      </c>
      <c r="F8" s="20" t="str">
        <f>IFERROR(__xludf.DUMMYFUNCTION("""COMPUTED_VALUE"""),"🚨 Important: Foreign R&amp;D Capitalization Update for [Entity]
How this affects you::
IRC Section 174 requires that all foreign research and experimental expenditures, including software development costs, must be capitalized rather than deducted immediate"&amp;"ly. These expenses must now be amortized ratably over a 15-year period, beginning with the midpoint of the taxable year in which they were incurred.
✅ Identify all foreign-based research, software development, and experimental expenditures
✅ Ensure these"&amp;" costs are moved to a capital account for proper amortization tracking
✅ Update your tax projections to account for the longer 15-year recovery period for foreign R\&amp;D
📚 Source: IRC Section 174
⚠️ Disclaimer: This template is for informational purposes"&amp;" only. Tax laws are subject to change and individual circumstances vary. Please consult with a qualified tax professional to confirm eligibility and compliance for your specific entity.")</f>
        <v>🚨 Important: Foreign R&amp;D Capitalization Update for [Entity]
How this affects you::
IRC Section 174 requires that all foreign research and experimental expenditures, including software development costs, must be capitalized rather than deducted immediately. These expenses must now be amortized ratably over a 15-year period, beginning with the midpoint of the taxable year in which they were incurred.
✅ Identify all foreign-based research, software development, and experimental expenditures
✅ Ensure these costs are moved to a capital account for proper amortization tracking
✅ Update your tax projections to account for the longer 15-year recovery period for foreign R\&amp;D
📚 Source: IRC Section 174
⚠️ Disclaimer: This template is for informational purposes only. Tax laws are subject to change and individual circumstances vary. Please consult with a qualified tax professional to confirm eligibility and compliance for your specific entity.</v>
      </c>
      <c r="G8" s="20" t="str">
        <f>IFERROR(__xludf.DUMMYFUNCTION("""COMPUTED_VALUE"""),"IRC Section 174 requires foreign research and software development costs to be capitalized and amortized over 15 years, which reduces immediate tax deductions and negatively impacts short-term cash flow compared to full expensing.")</f>
        <v>IRC Section 174 requires foreign research and software development costs to be capitalized and amortized over 15 years, which reduces immediate tax deductions and negatively impacts short-term cash flow compared to full expensing.</v>
      </c>
      <c r="H8" s="20" t="str">
        <f>IFERROR(__xludf.DUMMYFUNCTION("""COMPUTED_VALUE"""),"ACTIVE")</f>
        <v>ACTIVE</v>
      </c>
      <c r="I8" s="4"/>
      <c r="J8" s="4"/>
      <c r="K8" s="4"/>
      <c r="L8" s="4"/>
      <c r="M8" s="4"/>
      <c r="N8" s="4"/>
      <c r="O8" s="4"/>
      <c r="P8" s="4"/>
      <c r="Q8" s="4"/>
      <c r="R8" s="4"/>
      <c r="S8" s="4"/>
      <c r="T8" s="4"/>
      <c r="U8" s="4"/>
      <c r="V8" s="4"/>
      <c r="W8" s="4"/>
      <c r="X8" s="4"/>
      <c r="Y8" s="4"/>
      <c r="Z8" s="4"/>
    </row>
    <row r="9">
      <c r="A9" s="20"/>
      <c r="B9" s="20"/>
      <c r="C9" s="20" t="str">
        <f>IFERROR(__xludf.DUMMYFUNCTION("""COMPUTED_VALUE"""),"§263A")</f>
        <v>§263A</v>
      </c>
      <c r="D9" s="20" t="str">
        <f>IFERROR(__xludf.DUMMYFUNCTION("""COMPUTED_VALUE"""),"UNICAP requires businesses that produce or acquire property for resale to capitalize direct and certain indirect costs.")</f>
        <v>UNICAP requires businesses that produce or acquire property for resale to capitalize direct and certain indirect costs.</v>
      </c>
      <c r="E9" s="20" t="str">
        <f>IFERROR(__xludf.DUMMYFUNCTION("""COMPUTED_VALUE"""),"Industries: [Manufacturing, Wholesale Trade, Retail Trade, Agriculture, Construction] | Entities: [Corporations, Partnerships, Limited Liability Companies]")</f>
        <v>Industries: [Manufacturing, Wholesale Trade, Retail Trade, Agriculture, Construction] | Entities: [Corporations, Partnerships, Limited Liability Companies]</v>
      </c>
      <c r="F9" s="20" t="str">
        <f>IFERROR(__xludf.DUMMYFUNCTION("""COMPUTED_VALUE"""),"🚨 Important: UNICAP Compliance Update for [Entity]
How this affects you::
IRC Section 263A (UNICAP) requires your business to capitalize certain direct and indirect costs into inventory or asset basis rather than deducting them as current expenses. If y"&amp;"our average annual gross receipts exceed the [Threshold] small business exemption, you must capitalize costs like direct labor, materials, and a share of overhead allocable to produced or resold property.
✅ Identify all direct and indirect production or "&amp;"resale costs for capitalization
✅ Verify if your average annual gross receipts are below the [Threshold] exemption limit
✅ Ensure your QuickBooks Chart of Accounts correctly tracks inventory and capitalized overhead
📚 Source: IRC Section 263A
⚠️ Discla"&amp;"imer: This template is for informational purposes only. Tax laws are subject to change and individual circumstances vary. Please consult with a qualified tax professional to confirm eligibility and compliance for your specific entity.")</f>
        <v>🚨 Important: UNICAP Compliance Update for [Entity]
How this affects you::
IRC Section 263A (UNICAP) requires your business to capitalize certain direct and indirect costs into inventory or asset basis rather than deducting them as current expenses. If your average annual gross receipts exceed the [Threshold] small business exemption, you must capitalize costs like direct labor, materials, and a share of overhead allocable to produced or resold property.
✅ Identify all direct and indirect production or resale costs for capitalization
✅ Verify if your average annual gross receipts are below the [Threshold] exemption limit
✅ Ensure your QuickBooks Chart of Accounts correctly tracks inventory and capitalized overhead
📚 Source: IRC Section 263A
⚠️ Disclaimer: This template is for informational purposes only. Tax laws are subject to change and individual circumstances vary. Please consult with a qualified tax professional to confirm eligibility and compliance for your specific entity.</v>
      </c>
      <c r="G9" s="20" t="str">
        <f>IFERROR(__xludf.DUMMYFUNCTION("""COMPUTED_VALUE"""),"IRC Section 263A requires direct and indirect costs to be capitalized rather than expensed, which can increase your taxable income and defer deductions until inventory is sold.")</f>
        <v>IRC Section 263A requires direct and indirect costs to be capitalized rather than expensed, which can increase your taxable income and defer deductions until inventory is sold.</v>
      </c>
      <c r="H9" s="20" t="str">
        <f>IFERROR(__xludf.DUMMYFUNCTION("""COMPUTED_VALUE"""),"ACTIVE")</f>
        <v>ACTIVE</v>
      </c>
      <c r="I9" s="4"/>
      <c r="J9" s="4"/>
      <c r="K9" s="4"/>
      <c r="L9" s="4"/>
      <c r="M9" s="4"/>
      <c r="N9" s="4"/>
      <c r="O9" s="4"/>
      <c r="P9" s="4"/>
      <c r="Q9" s="4"/>
      <c r="R9" s="4"/>
      <c r="S9" s="4"/>
      <c r="T9" s="4"/>
      <c r="U9" s="4"/>
      <c r="V9" s="4"/>
      <c r="W9" s="4"/>
      <c r="X9" s="4"/>
      <c r="Y9" s="4"/>
      <c r="Z9" s="4"/>
    </row>
    <row r="10">
      <c r="A10" s="20"/>
      <c r="B10" s="20"/>
      <c r="C10" s="20" t="str">
        <f>IFERROR(__xludf.DUMMYFUNCTION("""COMPUTED_VALUE"""),"§163(j)")</f>
        <v>§163(j)</v>
      </c>
      <c r="D10" s="20" t="str">
        <f>IFERROR(__xludf.DUMMYFUNCTION("""COMPUTED_VALUE"""),"IRC Section 163(j) limits business interest deductions to 30% of adjusted taxable income plus business interest income.")</f>
        <v>IRC Section 163(j) limits business interest deductions to 30% of adjusted taxable income plus business interest income.</v>
      </c>
      <c r="E10" s="20" t="str">
        <f>IFERROR(__xludf.DUMMYFUNCTION("""COMPUTED_VALUE"""),"Industries: [Automotive, Agriculture, Real Estate, Manufacturing, Finance] | Entities: [Corporations, Partnerships, S Corporations]")</f>
        <v>Industries: [Automotive, Agriculture, Real Estate, Manufacturing, Finance] | Entities: [Corporations, Partnerships, S Corporations]</v>
      </c>
      <c r="F10" s="20" t="str">
        <f>IFERROR(__xludf.DUMMYFUNCTION("""COMPUTED_VALUE"""),"🚨 Important: Business Interest Deduction Update for [Entity]
How this affects you::
Based on your [Interest_Expense] and [EBITDA], your business interest deduction is generally limited to 30% of your adjusted taxable income. We estimate your current ded"&amp;"uction limit at [Deduction_Limit], with a potential \[Disallowed\_Amount\] to be carried forward. This carryforward note ensures that any disallowed interest is not lost but can be treated as an expense in succeeding taxable years.
✅ Review your [EBITDA]"&amp;" and adjusted taxable income calculations for accuracy
✅ Implement a system for detailed interest tracking to manage carryforwards
✅ Consult with a CPA to evaluate debt structuring or potential elections
📚 Source: IRC Section 163(j)
⚠️ Disclaimer: This"&amp;" template is for informational purposes only. Tax laws are subject to change and individual circumstances vary. Please consult with a qualified tax professional to confirm eligibility and compliance for your specific entity.")</f>
        <v>🚨 Important: Business Interest Deduction Update for [Entity]
How this affects you::
Based on your [Interest_Expense] and [EBITDA], your business interest deduction is generally limited to 30% of your adjusted taxable income. We estimate your current deduction limit at [Deduction_Limit], with a potential \[Disallowed\_Amount\] to be carried forward. This carryforward note ensures that any disallowed interest is not lost but can be treated as an expense in succeeding taxable years.
✅ Review your [EBITDA] and adjusted taxable income calculations for accuracy
✅ Implement a system for detailed interest tracking to manage carryforwards
✅ Consult with a CPA to evaluate debt structuring or potential elections
📚 Source: IRC Section 163(j)
⚠️ Disclaimer: This template is for informational purposes only. Tax laws are subject to change and individual circumstances vary. Please consult with a qualified tax professional to confirm eligibility and compliance for your specific entity.</v>
      </c>
      <c r="G10" s="20" t="str">
        <f>IFERROR(__xludf.DUMMYFUNCTION("""COMPUTED_VALUE"""),"IRC Section 163(j) limits the tax deductibility of interest to 30% of adjusted taxable income, which can lower your interest coverage ratio and increase your after-tax debt-to-EBITDA costs by reducing the cash flow benefit of debt.")</f>
        <v>IRC Section 163(j) limits the tax deductibility of interest to 30% of adjusted taxable income, which can lower your interest coverage ratio and increase your after-tax debt-to-EBITDA costs by reducing the cash flow benefit of debt.</v>
      </c>
      <c r="H10" s="20" t="str">
        <f>IFERROR(__xludf.DUMMYFUNCTION("""COMPUTED_VALUE"""),"ACTIVE")</f>
        <v>ACTIVE</v>
      </c>
      <c r="I10" s="4"/>
      <c r="J10" s="4"/>
      <c r="K10" s="4"/>
      <c r="L10" s="4"/>
      <c r="M10" s="4"/>
      <c r="N10" s="4"/>
      <c r="O10" s="4"/>
      <c r="P10" s="4"/>
      <c r="Q10" s="4"/>
      <c r="R10" s="4"/>
      <c r="S10" s="4"/>
      <c r="T10" s="4"/>
      <c r="U10" s="4"/>
      <c r="V10" s="4"/>
      <c r="W10" s="4"/>
      <c r="X10" s="4"/>
      <c r="Y10" s="4"/>
      <c r="Z10" s="4"/>
    </row>
    <row r="11">
      <c r="A11" s="20"/>
      <c r="B11" s="20"/>
      <c r="C11" s="20" t="str">
        <f>IFERROR(__xludf.DUMMYFUNCTION("""COMPUTED_VALUE"""),"§274")</f>
        <v>§274</v>
      </c>
      <c r="D11" s="20" t="str">
        <f>IFERROR(__xludf.DUMMYFUNCTION("""COMPUTED_VALUE"""),"IRC Section 274 generally disallows deductions for entertainment expenses while limiting business meal deductions to 50 percent.")</f>
        <v>IRC Section 274 generally disallows deductions for entertainment expenses while limiting business meal deductions to 50 percent.</v>
      </c>
      <c r="E11" s="20" t="str">
        <f>IFERROR(__xludf.DUMMYFUNCTION("""COMPUTED_VALUE"""),"Industries: [Hospitality, Travel, Entertainment, Food and Beverage, Professional Services] | Entities: [Corporations, Partnerships, Limited Liability Companies, Sole Proprietorships]")</f>
        <v>Industries: [Hospitality, Travel, Entertainment, Food and Beverage, Professional Services] | Entities: [Corporations, Partnerships, Limited Liability Companies, Sole Proprietorships]</v>
      </c>
      <c r="F11" s="20" t="str">
        <f>IFERROR(__xludf.DUMMYFUNCTION("""COMPUTED_VALUE"""),"🚨 Important: Business Meal and Entertainment Deduction Update for [Entity]
How this affects you::
Beginning in 2026, tax laws regarding meals and entertainment have tightened. While business meals with clients remain 50% deductible, most employer-provid"&amp;"ed meals (like on-site snacks or cafeteria food) are now nondeductible. Based on your current [Meal_Expense], we estimate your [Deductible_Amount] and [NonDeductible_Amount]. Note that entertainment activities—such as sporting events, golf, or club dues—r"&amp;"emain 100% nondeductible even if they have a business purpose.
✅ Maintain detailed records for each meal, including the business purpose, relationship of attendees, date, and location to substantiate the 50% deduction
✅ Review and update your internal re"&amp;"imbursement policies to reflect the total loss of deductions for employer-provided convenience meals
✅ Tag all food and beverage expenses in QuickBooks by class or category to distinguish between 50% deductible travel/client meals and nondeductible entert"&amp;"ainment
📚 Source: IRC Section 274
⚠️ Disclaimer: This template is for informational purposes only. Tax laws are subject to change and individual circumstances vary. Please consult with a qualified tax professional to confirm eligibility and compliance "&amp;"for your specific entity.")</f>
        <v>🚨 Important: Business Meal and Entertainment Deduction Update for [Entity]
How this affects you::
Beginning in 2026, tax laws regarding meals and entertainment have tightened. While business meals with clients remain 50% deductible, most employer-provided meals (like on-site snacks or cafeteria food) are now nondeductible. Based on your current [Meal_Expense], we estimate your [Deductible_Amount] and [NonDeductible_Amount]. Note that entertainment activities—such as sporting events, golf, or club dues—remain 100% nondeductible even if they have a business purpose.
✅ Maintain detailed records for each meal, including the business purpose, relationship of attendees, date, and location to substantiate the 50% deduction
✅ Review and update your internal reimbursement policies to reflect the total loss of deductions for employer-provided convenience meals
✅ Tag all food and beverage expenses in QuickBooks by class or category to distinguish between 50% deductible travel/client meals and nondeductible entertainment
📚 Source: IRC Section 274
⚠️ Disclaimer: This template is for informational purposes only. Tax laws are subject to change and individual circumstances vary. Please consult with a qualified tax professional to confirm eligibility and compliance for your specific entity.</v>
      </c>
      <c r="G11" s="20" t="str">
        <f>IFERROR(__xludf.DUMMYFUNCTION("""COMPUTED_VALUE"""),"IRC Section 274 increases your effective tax rate by disallowing deductions for entertainment and limiting business meal deductions, thereby raising taxable income without increasing cash flow.")</f>
        <v>IRC Section 274 increases your effective tax rate by disallowing deductions for entertainment and limiting business meal deductions, thereby raising taxable income without increasing cash flow.</v>
      </c>
      <c r="H11" s="20" t="str">
        <f>IFERROR(__xludf.DUMMYFUNCTION("""COMPUTED_VALUE"""),"ACTIVE")</f>
        <v>ACTIVE</v>
      </c>
      <c r="I11" s="4"/>
      <c r="J11" s="4"/>
      <c r="K11" s="4"/>
      <c r="L11" s="4"/>
      <c r="M11" s="4"/>
      <c r="N11" s="4"/>
      <c r="O11" s="4"/>
      <c r="P11" s="4"/>
      <c r="Q11" s="4"/>
      <c r="R11" s="4"/>
      <c r="S11" s="4"/>
      <c r="T11" s="4"/>
      <c r="U11" s="4"/>
      <c r="V11" s="4"/>
      <c r="W11" s="4"/>
      <c r="X11" s="4"/>
      <c r="Y11" s="4"/>
      <c r="Z11" s="4"/>
    </row>
    <row r="12">
      <c r="A12" s="20"/>
      <c r="B12" s="20"/>
      <c r="C12" s="20" t="str">
        <f>IFERROR(__xludf.DUMMYFUNCTION("""COMPUTED_VALUE"""),"§451")</f>
        <v>§451</v>
      </c>
      <c r="D12" s="20" t="str">
        <f>IFERROR(__xludf.DUMMYFUNCTION("""COMPUTED_VALUE"""),"Accrual-method businesses must recognize advance payments upon receipt or elect to defer a portion to the following year.")</f>
        <v>Accrual-method businesses must recognize advance payments upon receipt or elect to defer a portion to the following year.</v>
      </c>
      <c r="E12" s="20" t="str">
        <f>IFERROR(__xludf.DUMMYFUNCTION("""COMPUTED_VALUE"""),"Industries: [Software, Construction, Professional Services] | Entities: [C Corporations, S Corporations, Partnerships]")</f>
        <v>Industries: [Software, Construction, Professional Services] | Entities: [C Corporations, S Corporations, Partnerships]</v>
      </c>
      <c r="F12" s="20" t="str">
        <f>IFERROR(__xludf.DUMMYFUNCTION("""COMPUTED_VALUE"""),"🚨 Important: Section 451 Advance Payment Update for [Entity]
How this affects you::
Under IRC §451, your [Advance_Payment] in advance payments must be carefully tracked. By electing the deferral method, you can recognize [Recognized_This_Year] this year"&amp;" and defer [Deferred_Amount] to the following year. This creates a [Tax_Timing] book-tax timing difference involving [Cash_Flow_Impact] that affects your current tax liability and [Working_Capital] in working capital.
✅ Perform a year-end revenue cutoff "&amp;"review to identify all advance payments
✅ Ensure deferred revenue tracking is properly configured in QuickBooks
✅ Consult your CPA to formally elect the one-year deferral method
📚 Source: IRC Section 451
⚠️ Disclaimer: This template is for informationa"&amp;"l purposes only. Tax laws are subject to change and individual circumstances vary. Please consult with a qualified tax professional to confirm eligibility and compliance for your specific entity.")</f>
        <v>🚨 Important: Section 451 Advance Payment Update for [Entity]
How this affects you::
Under IRC §451, your [Advance_Payment] in advance payments must be carefully tracked. By electing the deferral method, you can recognize [Recognized_This_Year] this year and defer [Deferred_Amount] to the following year. This creates a [Tax_Timing] book-tax timing difference involving [Cash_Flow_Impact] that affects your current tax liability and [Working_Capital] in working capital.
✅ Perform a year-end revenue cutoff review to identify all advance payments
✅ Ensure deferred revenue tracking is properly configured in QuickBooks
✅ Consult your CPA to formally elect the one-year deferral method
📚 Source: IRC Section 451
⚠️ Disclaimer: This template is for informational purposes only. Tax laws are subject to change and individual circumstances vary. Please consult with a qualified tax professional to confirm eligibility and compliance for your specific entity.</v>
      </c>
      <c r="G12" s="20" t="str">
        <f>IFERROR(__xludf.DUMMYFUNCTION("""COMPUTED_VALUE"""),"Section 451 requires you to pay taxes on unearned cash upfront unless deferred, which can temporarily squeeze your working capital.")</f>
        <v>Section 451 requires you to pay taxes on unearned cash upfront unless deferred, which can temporarily squeeze your working capital.</v>
      </c>
      <c r="H12" s="20" t="str">
        <f>IFERROR(__xludf.DUMMYFUNCTION("""COMPUTED_VALUE"""),"ACTIVE")</f>
        <v>ACTIVE</v>
      </c>
      <c r="I12" s="4"/>
      <c r="J12" s="4"/>
      <c r="K12" s="4"/>
      <c r="L12" s="4"/>
      <c r="M12" s="4"/>
      <c r="N12" s="4"/>
      <c r="O12" s="4"/>
      <c r="P12" s="4"/>
      <c r="Q12" s="4"/>
      <c r="R12" s="4"/>
      <c r="S12" s="4"/>
      <c r="T12" s="4"/>
      <c r="U12" s="4"/>
      <c r="V12" s="4"/>
      <c r="W12" s="4"/>
      <c r="X12" s="4"/>
      <c r="Y12" s="4"/>
      <c r="Z12" s="4"/>
    </row>
    <row r="13">
      <c r="A13" s="20"/>
      <c r="B13" s="20"/>
      <c r="C13" s="20" t="str">
        <f>IFERROR(__xludf.DUMMYFUNCTION("""COMPUTED_VALUE"""),"§280A")</f>
        <v>§280A</v>
      </c>
      <c r="D13" s="20" t="str">
        <f>IFERROR(__xludf.DUMMYFUNCTION("""COMPUTED_VALUE"""),"Section 280A requires exclusive, regular use for home office deductions via simplified or regular expense methods.")</f>
        <v>Section 280A requires exclusive, regular use for home office deductions via simplified or regular expense methods.</v>
      </c>
      <c r="E13" s="20" t="str">
        <f>IFERROR(__xludf.DUMMYFUNCTION("""COMPUTED_VALUE"""),"Industries: [Professional Services, Software Development, E-commerce, Consulting, Freelance] | Entities: [S Corporations, Partnerships, Sole Proprietorships]")</f>
        <v>Industries: [Professional Services, Software Development, E-commerce, Consulting, Freelance] | Entities: [S Corporations, Partnerships, Sole Proprietorships]</v>
      </c>
      <c r="F13" s="20" t="str">
        <f>IFERROR(__xludf.DUMMYFUNCTION("""COMPUTED_VALUE"""),"🚨 Important: Home Office Deduction Update for [Entity]
How this affects you::
Maximize your savings by choosing the best deduction method for your \[Square\_Footage\] sq. ft. home office. Based on your \[Home\_Office\_Expense\], you can compare the Simp"&amp;"lified Method ($5/sq. ft. up to $1,500) against the Regular Method (actual expenses like rent and utilities). Using the \[Method\], your estimated [Deductible_Amount] can significantly lower your taxable income.
✅ Verify the home office space is used exc"&amp;"lusively and regularly for your business
✅ Maintain accurate records of your total home and office square footage
✅ Review both calculation methods annually to ensure you select the highest deduction
📚 Source: IRC Section 280A
⚠️ Disclaimer: This templ"&amp;"ate is for informational purposes only. Tax laws are subject to change and individual circumstances vary. Please consult with a qualified tax professional to confirm eligibility and compliance for your specific entity.")</f>
        <v>🚨 Important: Home Office Deduction Update for [Entity]
How this affects you::
Maximize your savings by choosing the best deduction method for your \[Square\_Footage\] sq. ft. home office. Based on your \[Home\_Office\_Expense\], you can compare the Simplified Method ($5/sq. ft. up to $1,500) against the Regular Method (actual expenses like rent and utilities). Using the \[Method\], your estimated [Deductible_Amount] can significantly lower your taxable income.
✅ Verify the home office space is used exclusively and regularly for your business
✅ Maintain accurate records of your total home and office square footage
✅ Review both calculation methods annually to ensure you select the highest deduction
📚 Source: IRC Section 280A
⚠️ Disclaimer: This template is for informational purposes only. Tax laws are subject to change and individual circumstances vary. Please consult with a qualified tax professional to confirm eligibility and compliance for your specific entity.</v>
      </c>
      <c r="G13" s="20" t="str">
        <f>IFERROR(__xludf.DUMMYFUNCTION("""COMPUTED_VALUE"""),"IRC Section 280A improves after-tax net profit margins by allowing qualifying home-office costs to be deducted as business operating expenses, which reduces taxable income and lowers your overall tax liability.")</f>
        <v>IRC Section 280A improves after-tax net profit margins by allowing qualifying home-office costs to be deducted as business operating expenses, which reduces taxable income and lowers your overall tax liability.</v>
      </c>
      <c r="H13" s="20" t="str">
        <f>IFERROR(__xludf.DUMMYFUNCTION("""COMPUTED_VALUE"""),"ACTIVE")</f>
        <v>ACTIVE</v>
      </c>
      <c r="I13" s="4"/>
      <c r="J13" s="4"/>
      <c r="K13" s="4"/>
      <c r="L13" s="4"/>
      <c r="M13" s="4"/>
      <c r="N13" s="4"/>
      <c r="O13" s="4"/>
      <c r="P13" s="4"/>
      <c r="Q13" s="4"/>
      <c r="R13" s="4"/>
      <c r="S13" s="4"/>
      <c r="T13" s="4"/>
      <c r="U13" s="4"/>
      <c r="V13" s="4"/>
      <c r="W13" s="4"/>
      <c r="X13" s="4"/>
      <c r="Y13" s="4"/>
      <c r="Z13" s="4"/>
    </row>
    <row r="14">
      <c r="A14" s="20"/>
      <c r="B14" s="20"/>
      <c r="C14" s="20" t="str">
        <f>IFERROR(__xludf.DUMMYFUNCTION("""COMPUTED_VALUE"""),"§132")</f>
        <v>§132</v>
      </c>
      <c r="D14" s="20" t="str">
        <f>IFERROR(__xludf.DUMMYFUNCTION("""COMPUTED_VALUE"""),"Section 132 excludes specific employer-provided fringe benefits from an employee's gross income and payroll taxes.")</f>
        <v>Section 132 excludes specific employer-provided fringe benefits from an employee's gross income and payroll taxes.</v>
      </c>
      <c r="E14" s="20" t="str">
        <f>IFERROR(__xludf.DUMMYFUNCTION("""COMPUTED_VALUE"""),"Industries: [Retail, Hospitality, Transportation, Professional Services, Healthcare] | Entities: [Corporations, Partnerships, Limited Liability Companies]")</f>
        <v>Industries: [Retail, Hospitality, Transportation, Professional Services, Healthcare] | Entities: [Corporations, Partnerships, Limited Liability Companies]</v>
      </c>
      <c r="F14" s="20" t="str">
        <f>IFERROR(__xludf.DUMMYFUNCTION("""COMPUTED_VALUE"""),"🚨 Important: Fringe Benefit Tax Exclusion Update for [Entity]
How this affects you::
Based on your provided \[Benefit\_Type\] valued at \[Benefit\_Amount\], these benefits may be excluded from your employees' gross income. Under IRC Section 132, qualifi"&amp;"ed fringe benefits—such as de minimis gifts, employee discounts, and transportation fringes—are not subject to federal income tax withholding or FICA taxes, reducing the overall tax burden for both the employer and employee.
✅ Review payroll records to i"&amp;"dentify all \[Benefit\_Type\] expenses provided to employees
✅ Verify that excluded benefits are correctly omitted from Form W-2 taxable wages
✅ Ensure all fringe benefit transactions are accurately tagged in QuickBooks for audit readiness
📚 Source: IRC"&amp;" Section 132
⚠️ Disclaimer: This template is for informational purposes only. Tax laws are subject to change and individual circumstances vary. Please consult with a qualified tax professional to confirm eligibility and compliance for your specific entit"&amp;"y.")</f>
        <v>🚨 Important: Fringe Benefit Tax Exclusion Update for [Entity]
How this affects you::
Based on your provided \[Benefit\_Type\] valued at \[Benefit\_Amount\], these benefits may be excluded from your employees' gross income. Under IRC Section 132, qualified fringe benefits—such as de minimis gifts, employee discounts, and transportation fringes—are not subject to federal income tax withholding or FICA taxes, reducing the overall tax burden for both the employer and employee.
✅ Review payroll records to identify all \[Benefit\_Type\] expenses provided to employees
✅ Verify that excluded benefits are correctly omitted from Form W-2 taxable wages
✅ Ensure all fringe benefit transactions are accurately tagged in QuickBooks for audit readiness
📚 Source: IRC Section 132
⚠️ Disclaimer: This template is for informational purposes only. Tax laws are subject to change and individual circumstances vary. Please consult with a qualified tax professional to confirm eligibility and compliance for your specific entity.</v>
      </c>
      <c r="G14" s="20" t="str">
        <f>IFERROR(__xludf.DUMMYFUNCTION("""COMPUTED_VALUE"""),"IRC Section 132 improves your cash flow and lowers payroll tax ratios by exempting qualified fringe benefits from Social Security and Medicare taxes, reducing the total tax burden for both the company and its employees.")</f>
        <v>IRC Section 132 improves your cash flow and lowers payroll tax ratios by exempting qualified fringe benefits from Social Security and Medicare taxes, reducing the total tax burden for both the company and its employees.</v>
      </c>
      <c r="H14" s="20" t="str">
        <f>IFERROR(__xludf.DUMMYFUNCTION("""COMPUTED_VALUE"""),"ACTIVE")</f>
        <v>ACTIVE</v>
      </c>
      <c r="I14" s="4"/>
      <c r="J14" s="4"/>
      <c r="K14" s="4"/>
      <c r="L14" s="4"/>
      <c r="M14" s="4"/>
      <c r="N14" s="4"/>
      <c r="O14" s="4"/>
      <c r="P14" s="4"/>
      <c r="Q14" s="4"/>
      <c r="R14" s="4"/>
      <c r="S14" s="4"/>
      <c r="T14" s="4"/>
      <c r="U14" s="4"/>
      <c r="V14" s="4"/>
      <c r="W14" s="4"/>
      <c r="X14" s="4"/>
      <c r="Y14" s="4"/>
      <c r="Z14" s="4"/>
    </row>
    <row r="15">
      <c r="A15" s="20"/>
      <c r="B15" s="20"/>
      <c r="C15" s="20" t="str">
        <f>IFERROR(__xludf.DUMMYFUNCTION("""COMPUTED_VALUE"""),"§162(m)")</f>
        <v>§162(m)</v>
      </c>
      <c r="D15" s="20" t="str">
        <f>IFERROR(__xludf.DUMMYFUNCTION("""COMPUTED_VALUE"""),"IRC Section 162(m) limits publicly held corporations from deducting executive compensation exceeding $1 million per covered employee annually.")</f>
        <v>IRC Section 162(m) limits publicly held corporations from deducting executive compensation exceeding $1 million per covered employee annually.</v>
      </c>
      <c r="E15" s="20" t="str">
        <f>IFERROR(__xludf.DUMMYFUNCTION("""COMPUTED_VALUE"""),"Industries: [Technology, Finance, Healthcare, Energy, Consumer Discretionary] | Entities: [Publicly Held Corporations, C Corporations]")</f>
        <v>Industries: [Technology, Finance, Healthcare, Energy, Consumer Discretionary] | Entities: [Publicly Held Corporations, C Corporations]</v>
      </c>
      <c r="F15" s="20" t="str">
        <f>IFERROR(__xludf.DUMMYFUNCTION("""COMPUTED_VALUE"""),"🚨 Important: Executive Compensation Deduction Update for [Entity]
How this affects you::
Under IRC Section 162(m), your annual federal tax deduction for compensation paid to \[Executive\_Name\] is capped at $1,000,000. Based on \[Total\_Comp\] in total "&amp;"remuneration, the [NonDeductible_Amount] exceeding this limit is non-deductible, resulting in a \[Tax\_Impact\] to your entity's effective tax rate. Note that since the Tax Cuts and Jobs Act, the previous exception for performance-based compensation has b"&amp;"een repealed; all forms of pay, including performance-contingent bonuses and equity, now count toward the $1M threshold.
✅ Identify and track all 'covered employees,' including the CEO, CFO, and top three officers, under the 'once covered, always covered"&amp;"' rule
✅ Maintain detailed documentation of performance goals and payment terms to support financial statement reporting of permanent book-tax differences
✅ Coordinate with a CPA or tax advisor to review controlled group aggregation rules and potential 20"&amp;"27 expansions to the top five highest-paid employees
📚 Source: IRC Section 162(m)
⚠️ Disclaimer: This template is for informational purposes only. Tax laws are subject to change and individual circumstances vary. Please consult with a qualified tax pro"&amp;"fessional to confirm eligibility and compliance for your specific entity.")</f>
        <v>🚨 Important: Executive Compensation Deduction Update for [Entity]
How this affects you::
Under IRC Section 162(m), your annual federal tax deduction for compensation paid to \[Executive\_Name\] is capped at $1,000,000. Based on \[Total\_Comp\] in total remuneration, the [NonDeductible_Amount] exceeding this limit is non-deductible, resulting in a \[Tax\_Impact\] to your entity's effective tax rate. Note that since the Tax Cuts and Jobs Act, the previous exception for performance-based compensation has been repealed; all forms of pay, including performance-contingent bonuses and equity, now count toward the $1M threshold.
✅ Identify and track all 'covered employees,' including the CEO, CFO, and top three officers, under the 'once covered, always covered' rule
✅ Maintain detailed documentation of performance goals and payment terms to support financial statement reporting of permanent book-tax differences
✅ Coordinate with a CPA or tax advisor to review controlled group aggregation rules and potential 2027 expansions to the top five highest-paid employees
📚 Source: IRC Section 162(m)
⚠️ Disclaimer: This template is for informational purposes only. Tax laws are subject to change and individual circumstances vary. Please consult with a qualified tax professional to confirm eligibility and compliance for your specific entity.</v>
      </c>
      <c r="G15" s="20" t="str">
        <f>IFERROR(__xludf.DUMMYFUNCTION("""COMPUTED_VALUE"""),"IRC Section 162(m) can increase your effective tax rate by disallowing deductions for executive compensation exceeding $1 million, effectively raising taxable income without reducing actual compensation costs.")</f>
        <v>IRC Section 162(m) can increase your effective tax rate by disallowing deductions for executive compensation exceeding $1 million, effectively raising taxable income without reducing actual compensation costs.</v>
      </c>
      <c r="H15" s="20" t="str">
        <f>IFERROR(__xludf.DUMMYFUNCTION("""COMPUTED_VALUE"""),"ACTIVE")</f>
        <v>ACTIVE</v>
      </c>
      <c r="I15" s="4"/>
      <c r="J15" s="4"/>
      <c r="K15" s="4"/>
      <c r="L15" s="4"/>
      <c r="M15" s="4"/>
      <c r="N15" s="4"/>
      <c r="O15" s="4"/>
      <c r="P15" s="4"/>
      <c r="Q15" s="4"/>
      <c r="R15" s="4"/>
      <c r="S15" s="4"/>
      <c r="T15" s="4"/>
      <c r="U15" s="4"/>
      <c r="V15" s="4"/>
      <c r="W15" s="4"/>
      <c r="X15" s="4"/>
      <c r="Y15" s="4"/>
      <c r="Z15" s="4"/>
    </row>
    <row r="16">
      <c r="A16" s="20"/>
      <c r="B16" s="20"/>
      <c r="C16" s="20" t="str">
        <f>IFERROR(__xludf.DUMMYFUNCTION("""COMPUTED_VALUE"""),"§409A")</f>
        <v>§409A</v>
      </c>
      <c r="D16" s="20" t="str">
        <f>IFERROR(__xludf.DUMMYFUNCTION("""COMPUTED_VALUE"""),"Section 409A regulates nonqualified deferred compensation timing; violations trigger immediate taxation and a 20% penalty.")</f>
        <v>Section 409A regulates nonqualified deferred compensation timing; violations trigger immediate taxation and a 20% penalty.</v>
      </c>
      <c r="E16" s="20" t="str">
        <f>IFERROR(__xludf.DUMMYFUNCTION("""COMPUTED_VALUE"""),"Industries: [Technology, Financial Services, Biotechnology, Healthcare, Manufacturing] | Entities: [Corporations, Partnerships, Tax-Exempt Organizations]")</f>
        <v>Industries: [Technology, Financial Services, Biotechnology, Healthcare, Manufacturing] | Entities: [Corporations, Partnerships, Tax-Exempt Organizations]</v>
      </c>
      <c r="F16" s="20" t="str">
        <f>IFERROR(__xludf.DUMMYFUNCTION("""COMPUTED_VALUE"""),"🚨 Urgent: Section 409A Compliance Alert for [Entity]
How this affects you::
IRC Section 409A strictly regulates the timing of nonqualified deferred compensation. Failure to comply with these rules triggers immediate taxation of your \[Deferral\_Amount\]"&amp;" in deferred pay, plus a mandatory 20% penalty—estimated at \[Penalty\_Risk\]—and accrued interest. To avoid these penalties, all deferral elections must generally be made by the end of the year preceding the service year, and distributions must be limite"&amp;"d to specific events like \[Distribution\_Event\].
✅ Conduct a 409A valuation review by \[Valuation\_Date\] to ensure stock rights are not treated as deferred compensation
✅ Verify that all initial deferral elections were documented before the applicable"&amp;" year-end deadline
✅ Maintain strict documentation for all distribution events to prevent impermissible acceleration of benefits
📚 Source: IRC Section 409A
⚠️ Disclaimer: This template is for informational purposes only. Tax laws are subject to change "&amp;"and individual circumstances vary. Please consult with a qualified tax professional to confirm eligibility and compliance for your specific entity.")</f>
        <v>🚨 Urgent: Section 409A Compliance Alert for [Entity]
How this affects you::
IRC Section 409A strictly regulates the timing of nonqualified deferred compensation. Failure to comply with these rules triggers immediate taxation of your \[Deferral\_Amount\] in deferred pay, plus a mandatory 20% penalty—estimated at \[Penalty\_Risk\]—and accrued interest. To avoid these penalties, all deferral elections must generally be made by the end of the year preceding the service year, and distributions must be limited to specific events like \[Distribution\_Event\].
✅ Conduct a 409A valuation review by \[Valuation\_Date\] to ensure stock rights are not treated as deferred compensation
✅ Verify that all initial deferral elections were documented before the applicable year-end deadline
✅ Maintain strict documentation for all distribution events to prevent impermissible acceleration of benefits
📚 Source: IRC Section 409A
⚠️ Disclaimer: This template is for informational purposes only. Tax laws are subject to change and individual circumstances vary. Please consult with a qualified tax professional to confirm eligibility and compliance for your specific entity.</v>
      </c>
      <c r="G16" s="20" t="str">
        <f>IFERROR(__xludf.DUMMYFUNCTION("""COMPUTED_VALUE"""),"IRC Section 409A requires strict adherence to distribution schedules for nonqualified deferred compensation, where violations trigger immediate taxation and a 20% penalty that accelerates tax liabilities and alters compensation timing ratios.")</f>
        <v>IRC Section 409A requires strict adherence to distribution schedules for nonqualified deferred compensation, where violations trigger immediate taxation and a 20% penalty that accelerates tax liabilities and alters compensation timing ratios.</v>
      </c>
      <c r="H16" s="20" t="str">
        <f>IFERROR(__xludf.DUMMYFUNCTION("""COMPUTED_VALUE"""),"ACTIVE")</f>
        <v>ACTIVE</v>
      </c>
      <c r="I16" s="4"/>
      <c r="J16" s="4"/>
      <c r="K16" s="4"/>
      <c r="L16" s="4"/>
      <c r="M16" s="4"/>
      <c r="N16" s="4"/>
      <c r="O16" s="4"/>
      <c r="P16" s="4"/>
      <c r="Q16" s="4"/>
      <c r="R16" s="4"/>
      <c r="S16" s="4"/>
      <c r="T16" s="4"/>
      <c r="U16" s="4"/>
      <c r="V16" s="4"/>
      <c r="W16" s="4"/>
      <c r="X16" s="4"/>
      <c r="Y16" s="4"/>
      <c r="Z16" s="4"/>
    </row>
    <row r="17">
      <c r="A17" s="20"/>
      <c r="B17" s="20"/>
      <c r="C17" s="20" t="str">
        <f>IFERROR(__xludf.DUMMYFUNCTION("""COMPUTED_VALUE"""),"§1202")</f>
        <v>§1202</v>
      </c>
      <c r="D17" s="20" t="str">
        <f>IFERROR(__xludf.DUMMYFUNCTION("""COMPUTED_VALUE"""),"IRC Section 1202 allows non-corporate taxpayers to exclude up to 100% of capital gains from qualified small business stock.")</f>
        <v>IRC Section 1202 allows non-corporate taxpayers to exclude up to 100% of capital gains from qualified small business stock.</v>
      </c>
      <c r="E17" s="20" t="str">
        <f>IFERROR(__xludf.DUMMYFUNCTION("""COMPUTED_VALUE"""),"Industries: [Technology, Manufacturing, Biotechnology, Healthcare, Aerospace] | Entities: [C Corporations, Partnerships, S Corporations]")</f>
        <v>Industries: [Technology, Manufacturing, Biotechnology, Healthcare, Aerospace] | Entities: [C Corporations, Partnerships, S Corporations]</v>
      </c>
      <c r="F17" s="20" t="str">
        <f>IFERROR(__xludf.DUMMYFUNCTION("""COMPUTED_VALUE"""),"🚨 Important: Qualified Small Business Stock (QSBS) Tax Exclusion for [Entity]
How this affects you::
Maximize your exit strategy by leveraging the IRC Section 1202 exclusion. For eligible stock, you can exclude up to 100% of capital gains from your gros"&amp;"s income. Based on your \[Stock\_Basis\], your potential \[Exclusion\_Amount\] is capped at the greater of $10M ($15M for post-2025 issuances) or 10 times your initial basis, effectively reducing your federal tax rate on the sale to 0%.
✅ \[Eligibility\_"&amp;"Check\] Verify the entity is a domestic C-Corp and meets active business requirements
✅ \[Eligibility\_Check\] Confirm aggregate gross assets did not exceed $50M ($75M for post-2025 issuances) at issuance
✅ \[Holding\_Period\] Track your \[Holding\_Period"&amp;"\] to ensure it meets the 5-year requirement for a 100% exclusion
📚 Source: IRC Section 1202
⚠️ Disclaimer: This template is for informational purposes only. Tax laws are subject to change and individual circumstances vary. Please consult with a qualif"&amp;"ied tax professional to confirm eligibility and compliance for your specific entity.")</f>
        <v>🚨 Important: Qualified Small Business Stock (QSBS) Tax Exclusion for [Entity]
How this affects you::
Maximize your exit strategy by leveraging the IRC Section 1202 exclusion. For eligible stock, you can exclude up to 100% of capital gains from your gross income. Based on your \[Stock\_Basis\], your potential \[Exclusion\_Amount\] is capped at the greater of $10M ($15M for post-2025 issuances) or 10 times your initial basis, effectively reducing your federal tax rate on the sale to 0%.
✅ \[Eligibility\_Check\] Verify the entity is a domestic C-Corp and meets active business requirements
✅ \[Eligibility\_Check\] Confirm aggregate gross assets did not exceed $50M ($75M for post-2025 issuances) at issuance
✅ \[Holding\_Period\] Track your \[Holding\_Period\] to ensure it meets the 5-year requirement for a 100% exclusion
📚 Source: IRC Section 1202
⚠️ Disclaimer: This template is for informational purposes only. Tax laws are subject to change and individual circumstances vary. Please consult with a qualified tax professional to confirm eligibility and compliance for your specific entity.</v>
      </c>
      <c r="G17" s="20" t="str">
        <f>IFERROR(__xludf.DUMMYFUNCTION("""COMPUTED_VALUE"""),"IRC Section 1202 significantly increases exit proceeds by allowing non-corporate shareholders to exclude up to 100% of capital gains from the sale of qualified small business stock, potentially reducing the effective tax rate on those gains to zero.")</f>
        <v>IRC Section 1202 significantly increases exit proceeds by allowing non-corporate shareholders to exclude up to 100% of capital gains from the sale of qualified small business stock, potentially reducing the effective tax rate on those gains to zero.</v>
      </c>
      <c r="H17" s="20" t="str">
        <f>IFERROR(__xludf.DUMMYFUNCTION("""COMPUTED_VALUE"""),"ACTIVE")</f>
        <v>ACTIVE</v>
      </c>
      <c r="I17" s="4"/>
      <c r="J17" s="4"/>
      <c r="K17" s="4"/>
      <c r="L17" s="4"/>
      <c r="M17" s="4"/>
      <c r="N17" s="4"/>
      <c r="O17" s="4"/>
      <c r="P17" s="4"/>
      <c r="Q17" s="4"/>
      <c r="R17" s="4"/>
      <c r="S17" s="4"/>
      <c r="T17" s="4"/>
      <c r="U17" s="4"/>
      <c r="V17" s="4"/>
      <c r="W17" s="4"/>
      <c r="X17" s="4"/>
      <c r="Y17" s="4"/>
      <c r="Z17" s="4"/>
    </row>
    <row r="18">
      <c r="A18" s="20"/>
      <c r="B18" s="20"/>
      <c r="C18" s="20"/>
      <c r="D18" s="20"/>
      <c r="E18" s="20"/>
      <c r="F18" s="20"/>
      <c r="G18" s="20"/>
      <c r="H18" s="20"/>
      <c r="I18" s="4"/>
      <c r="J18" s="4"/>
      <c r="K18" s="4"/>
      <c r="L18" s="4"/>
      <c r="M18" s="4"/>
      <c r="N18" s="4"/>
      <c r="O18" s="4"/>
      <c r="P18" s="4"/>
      <c r="Q18" s="4"/>
      <c r="R18" s="4"/>
      <c r="S18" s="4"/>
      <c r="T18" s="4"/>
      <c r="U18" s="4"/>
      <c r="V18" s="4"/>
      <c r="W18" s="4"/>
      <c r="X18" s="4"/>
      <c r="Y18" s="4"/>
      <c r="Z18" s="4"/>
    </row>
    <row r="19">
      <c r="A19" s="20"/>
      <c r="B19" s="20"/>
      <c r="C19" s="20"/>
      <c r="D19" s="20"/>
      <c r="E19" s="20"/>
      <c r="F19" s="20"/>
      <c r="G19" s="20"/>
      <c r="H19" s="20"/>
      <c r="I19" s="4"/>
      <c r="J19" s="4"/>
      <c r="K19" s="4"/>
      <c r="L19" s="4"/>
      <c r="M19" s="4"/>
      <c r="N19" s="4"/>
      <c r="O19" s="4"/>
      <c r="P19" s="4"/>
      <c r="Q19" s="4"/>
      <c r="R19" s="4"/>
      <c r="S19" s="4"/>
      <c r="T19" s="4"/>
      <c r="U19" s="4"/>
      <c r="V19" s="4"/>
      <c r="W19" s="4"/>
      <c r="X19" s="4"/>
      <c r="Y19" s="4"/>
      <c r="Z19" s="4"/>
    </row>
    <row r="20">
      <c r="A20" s="20"/>
      <c r="B20" s="20"/>
      <c r="C20" s="20"/>
      <c r="D20" s="20"/>
      <c r="E20" s="20"/>
      <c r="F20" s="20"/>
      <c r="G20" s="20"/>
      <c r="H20" s="20"/>
      <c r="I20" s="4"/>
      <c r="J20" s="4"/>
      <c r="K20" s="4"/>
      <c r="L20" s="4"/>
      <c r="M20" s="4"/>
      <c r="N20" s="4"/>
      <c r="O20" s="4"/>
      <c r="P20" s="4"/>
      <c r="Q20" s="4"/>
      <c r="R20" s="4"/>
      <c r="S20" s="4"/>
      <c r="T20" s="4"/>
      <c r="U20" s="4"/>
      <c r="V20" s="4"/>
      <c r="W20" s="4"/>
      <c r="X20" s="4"/>
      <c r="Y20" s="4"/>
      <c r="Z20" s="4"/>
    </row>
    <row r="21">
      <c r="A21" s="20"/>
      <c r="B21" s="20"/>
      <c r="C21" s="20"/>
      <c r="D21" s="20"/>
      <c r="E21" s="20"/>
      <c r="F21" s="20"/>
      <c r="G21" s="20"/>
      <c r="H21" s="20"/>
      <c r="I21" s="4"/>
      <c r="J21" s="4"/>
      <c r="K21" s="4"/>
      <c r="L21" s="4"/>
      <c r="M21" s="4"/>
      <c r="N21" s="4"/>
      <c r="O21" s="4"/>
      <c r="P21" s="4"/>
      <c r="Q21" s="4"/>
      <c r="R21" s="4"/>
      <c r="S21" s="4"/>
      <c r="T21" s="4"/>
      <c r="U21" s="4"/>
      <c r="V21" s="4"/>
      <c r="W21" s="4"/>
      <c r="X21" s="4"/>
      <c r="Y21" s="4"/>
      <c r="Z21" s="4"/>
    </row>
    <row r="22">
      <c r="A22" s="20"/>
      <c r="B22" s="20"/>
      <c r="C22" s="20"/>
      <c r="D22" s="20"/>
      <c r="E22" s="20"/>
      <c r="F22" s="20"/>
      <c r="G22" s="20"/>
      <c r="H22" s="20"/>
      <c r="I22" s="4"/>
      <c r="J22" s="4"/>
      <c r="K22" s="4"/>
      <c r="L22" s="4"/>
      <c r="M22" s="4"/>
      <c r="N22" s="4"/>
      <c r="O22" s="4"/>
      <c r="P22" s="4"/>
      <c r="Q22" s="4"/>
      <c r="R22" s="4"/>
      <c r="S22" s="4"/>
      <c r="T22" s="4"/>
      <c r="U22" s="4"/>
      <c r="V22" s="4"/>
      <c r="W22" s="4"/>
      <c r="X22" s="4"/>
      <c r="Y22" s="4"/>
      <c r="Z22" s="4"/>
    </row>
    <row r="23">
      <c r="A23" s="20"/>
      <c r="B23" s="20"/>
      <c r="C23" s="20"/>
      <c r="D23" s="20"/>
      <c r="E23" s="20"/>
      <c r="F23" s="20"/>
      <c r="G23" s="20"/>
      <c r="H23" s="20"/>
      <c r="I23" s="4"/>
      <c r="J23" s="4"/>
      <c r="K23" s="4"/>
      <c r="L23" s="4"/>
      <c r="M23" s="4"/>
      <c r="N23" s="4"/>
      <c r="O23" s="4"/>
      <c r="P23" s="4"/>
      <c r="Q23" s="4"/>
      <c r="R23" s="4"/>
      <c r="S23" s="4"/>
      <c r="T23" s="4"/>
      <c r="U23" s="4"/>
      <c r="V23" s="4"/>
      <c r="W23" s="4"/>
      <c r="X23" s="4"/>
      <c r="Y23" s="4"/>
      <c r="Z23" s="4"/>
    </row>
    <row r="24">
      <c r="A24" s="20"/>
      <c r="B24" s="20"/>
      <c r="C24" s="20"/>
      <c r="D24" s="20"/>
      <c r="E24" s="20"/>
      <c r="F24" s="20"/>
      <c r="G24" s="20"/>
      <c r="H24" s="20"/>
      <c r="I24" s="4"/>
      <c r="J24" s="4"/>
      <c r="K24" s="4"/>
      <c r="L24" s="4"/>
      <c r="M24" s="4"/>
      <c r="N24" s="4"/>
      <c r="O24" s="4"/>
      <c r="P24" s="4"/>
      <c r="Q24" s="4"/>
      <c r="R24" s="4"/>
      <c r="S24" s="4"/>
      <c r="T24" s="4"/>
      <c r="U24" s="4"/>
      <c r="V24" s="4"/>
      <c r="W24" s="4"/>
      <c r="X24" s="4"/>
      <c r="Y24" s="4"/>
      <c r="Z24" s="4"/>
    </row>
    <row r="25">
      <c r="A25" s="20"/>
      <c r="B25" s="20"/>
      <c r="C25" s="20"/>
      <c r="D25" s="20"/>
      <c r="E25" s="20"/>
      <c r="F25" s="20"/>
      <c r="G25" s="20"/>
      <c r="H25" s="20"/>
      <c r="I25" s="4"/>
      <c r="J25" s="4"/>
      <c r="K25" s="4"/>
      <c r="L25" s="4"/>
      <c r="M25" s="4"/>
      <c r="N25" s="4"/>
      <c r="O25" s="4"/>
      <c r="P25" s="4"/>
      <c r="Q25" s="4"/>
      <c r="R25" s="4"/>
      <c r="S25" s="4"/>
      <c r="T25" s="4"/>
      <c r="U25" s="4"/>
      <c r="V25" s="4"/>
      <c r="W25" s="4"/>
      <c r="X25" s="4"/>
      <c r="Y25" s="4"/>
      <c r="Z25" s="4"/>
    </row>
    <row r="26">
      <c r="A26" s="20"/>
      <c r="B26" s="20"/>
      <c r="C26" s="20"/>
      <c r="D26" s="20"/>
      <c r="E26" s="20"/>
      <c r="F26" s="20"/>
      <c r="G26" s="20"/>
      <c r="H26" s="20"/>
      <c r="I26" s="4"/>
      <c r="J26" s="4"/>
      <c r="K26" s="4"/>
      <c r="L26" s="4"/>
      <c r="M26" s="4"/>
      <c r="N26" s="4"/>
      <c r="O26" s="4"/>
      <c r="P26" s="4"/>
      <c r="Q26" s="4"/>
      <c r="R26" s="4"/>
      <c r="S26" s="4"/>
      <c r="T26" s="4"/>
      <c r="U26" s="4"/>
      <c r="V26" s="4"/>
      <c r="W26" s="4"/>
      <c r="X26" s="4"/>
      <c r="Y26" s="4"/>
      <c r="Z26" s="4"/>
    </row>
    <row r="27">
      <c r="A27" s="20"/>
      <c r="B27" s="20"/>
      <c r="C27" s="20"/>
      <c r="D27" s="20"/>
      <c r="E27" s="20"/>
      <c r="F27" s="20"/>
      <c r="G27" s="20"/>
      <c r="H27" s="20"/>
      <c r="I27" s="4"/>
      <c r="J27" s="4"/>
      <c r="K27" s="4"/>
      <c r="L27" s="4"/>
      <c r="M27" s="4"/>
      <c r="N27" s="4"/>
      <c r="O27" s="4"/>
      <c r="P27" s="4"/>
      <c r="Q27" s="4"/>
      <c r="R27" s="4"/>
      <c r="S27" s="4"/>
      <c r="T27" s="4"/>
      <c r="U27" s="4"/>
      <c r="V27" s="4"/>
      <c r="W27" s="4"/>
      <c r="X27" s="4"/>
      <c r="Y27" s="4"/>
      <c r="Z27" s="4"/>
    </row>
    <row r="28">
      <c r="A28" s="20"/>
      <c r="B28" s="20"/>
      <c r="C28" s="20"/>
      <c r="D28" s="20"/>
      <c r="E28" s="20"/>
      <c r="F28" s="20"/>
      <c r="G28" s="20"/>
      <c r="H28" s="20"/>
      <c r="I28" s="4"/>
      <c r="J28" s="4"/>
      <c r="K28" s="4"/>
      <c r="L28" s="4"/>
      <c r="M28" s="4"/>
      <c r="N28" s="4"/>
      <c r="O28" s="4"/>
      <c r="P28" s="4"/>
      <c r="Q28" s="4"/>
      <c r="R28" s="4"/>
      <c r="S28" s="4"/>
      <c r="T28" s="4"/>
      <c r="U28" s="4"/>
      <c r="V28" s="4"/>
      <c r="W28" s="4"/>
      <c r="X28" s="4"/>
      <c r="Y28" s="4"/>
      <c r="Z28" s="4"/>
    </row>
    <row r="29">
      <c r="A29" s="20"/>
      <c r="B29" s="20"/>
      <c r="C29" s="20"/>
      <c r="D29" s="20"/>
      <c r="E29" s="20"/>
      <c r="F29" s="20"/>
      <c r="G29" s="20"/>
      <c r="H29" s="20"/>
      <c r="I29" s="4"/>
      <c r="J29" s="4"/>
      <c r="K29" s="4"/>
      <c r="L29" s="4"/>
      <c r="M29" s="4"/>
      <c r="N29" s="4"/>
      <c r="O29" s="4"/>
      <c r="P29" s="4"/>
      <c r="Q29" s="4"/>
      <c r="R29" s="4"/>
      <c r="S29" s="4"/>
      <c r="T29" s="4"/>
      <c r="U29" s="4"/>
      <c r="V29" s="4"/>
      <c r="W29" s="4"/>
      <c r="X29" s="4"/>
      <c r="Y29" s="4"/>
      <c r="Z29" s="4"/>
    </row>
    <row r="30">
      <c r="A30" s="20"/>
      <c r="B30" s="20"/>
      <c r="C30" s="20"/>
      <c r="D30" s="20"/>
      <c r="E30" s="20"/>
      <c r="F30" s="20"/>
      <c r="G30" s="20"/>
      <c r="H30" s="20"/>
      <c r="I30" s="4"/>
      <c r="J30" s="4"/>
      <c r="K30" s="4"/>
      <c r="L30" s="4"/>
      <c r="M30" s="4"/>
      <c r="N30" s="4"/>
      <c r="O30" s="4"/>
      <c r="P30" s="4"/>
      <c r="Q30" s="4"/>
      <c r="R30" s="4"/>
      <c r="S30" s="4"/>
      <c r="T30" s="4"/>
      <c r="U30" s="4"/>
      <c r="V30" s="4"/>
      <c r="W30" s="4"/>
      <c r="X30" s="4"/>
      <c r="Y30" s="4"/>
      <c r="Z30" s="4"/>
    </row>
    <row r="31">
      <c r="A31" s="20"/>
      <c r="B31" s="20"/>
      <c r="C31" s="20"/>
      <c r="D31" s="20"/>
      <c r="E31" s="20"/>
      <c r="F31" s="20"/>
      <c r="G31" s="20"/>
      <c r="H31" s="20"/>
      <c r="I31" s="4"/>
      <c r="J31" s="4"/>
      <c r="K31" s="4"/>
      <c r="L31" s="4"/>
      <c r="M31" s="4"/>
      <c r="N31" s="4"/>
      <c r="O31" s="4"/>
      <c r="P31" s="4"/>
      <c r="Q31" s="4"/>
      <c r="R31" s="4"/>
      <c r="S31" s="4"/>
      <c r="T31" s="4"/>
      <c r="U31" s="4"/>
      <c r="V31" s="4"/>
      <c r="W31" s="4"/>
      <c r="X31" s="4"/>
      <c r="Y31" s="4"/>
      <c r="Z31" s="4"/>
    </row>
    <row r="32">
      <c r="A32" s="20"/>
      <c r="B32" s="20"/>
      <c r="C32" s="20"/>
      <c r="D32" s="20"/>
      <c r="E32" s="20"/>
      <c r="F32" s="20"/>
      <c r="G32" s="20"/>
      <c r="H32" s="20"/>
      <c r="I32" s="4"/>
      <c r="J32" s="4"/>
      <c r="K32" s="4"/>
      <c r="L32" s="4"/>
      <c r="M32" s="4"/>
      <c r="N32" s="4"/>
      <c r="O32" s="4"/>
      <c r="P32" s="4"/>
      <c r="Q32" s="4"/>
      <c r="R32" s="4"/>
      <c r="S32" s="4"/>
      <c r="T32" s="4"/>
      <c r="U32" s="4"/>
      <c r="V32" s="4"/>
      <c r="W32" s="4"/>
      <c r="X32" s="4"/>
      <c r="Y32" s="4"/>
      <c r="Z32" s="4"/>
    </row>
    <row r="33">
      <c r="A33" s="20"/>
      <c r="B33" s="20"/>
      <c r="C33" s="20"/>
      <c r="D33" s="20"/>
      <c r="E33" s="20"/>
      <c r="F33" s="20"/>
      <c r="G33" s="20"/>
      <c r="H33" s="20"/>
      <c r="I33" s="4"/>
      <c r="J33" s="4"/>
      <c r="K33" s="4"/>
      <c r="L33" s="4"/>
      <c r="M33" s="4"/>
      <c r="N33" s="4"/>
      <c r="O33" s="4"/>
      <c r="P33" s="4"/>
      <c r="Q33" s="4"/>
      <c r="R33" s="4"/>
      <c r="S33" s="4"/>
      <c r="T33" s="4"/>
      <c r="U33" s="4"/>
      <c r="V33" s="4"/>
      <c r="W33" s="4"/>
      <c r="X33" s="4"/>
      <c r="Y33" s="4"/>
      <c r="Z33" s="4"/>
    </row>
    <row r="34">
      <c r="A34" s="20"/>
      <c r="B34" s="20"/>
      <c r="C34" s="20"/>
      <c r="D34" s="20"/>
      <c r="E34" s="20"/>
      <c r="F34" s="20"/>
      <c r="G34" s="20"/>
      <c r="H34" s="20"/>
      <c r="I34" s="4"/>
      <c r="J34" s="4"/>
      <c r="K34" s="4"/>
      <c r="L34" s="4"/>
      <c r="M34" s="4"/>
      <c r="N34" s="4"/>
      <c r="O34" s="4"/>
      <c r="P34" s="4"/>
      <c r="Q34" s="4"/>
      <c r="R34" s="4"/>
      <c r="S34" s="4"/>
      <c r="T34" s="4"/>
      <c r="U34" s="4"/>
      <c r="V34" s="4"/>
      <c r="W34" s="4"/>
      <c r="X34" s="4"/>
      <c r="Y34" s="4"/>
      <c r="Z34" s="4"/>
    </row>
    <row r="35">
      <c r="A35" s="20"/>
      <c r="B35" s="20"/>
      <c r="C35" s="20"/>
      <c r="D35" s="20"/>
      <c r="E35" s="20"/>
      <c r="F35" s="20"/>
      <c r="G35" s="20"/>
      <c r="H35" s="20"/>
      <c r="I35" s="4"/>
      <c r="J35" s="4"/>
      <c r="K35" s="4"/>
      <c r="L35" s="4"/>
      <c r="M35" s="4"/>
      <c r="N35" s="4"/>
      <c r="O35" s="4"/>
      <c r="P35" s="4"/>
      <c r="Q35" s="4"/>
      <c r="R35" s="4"/>
      <c r="S35" s="4"/>
      <c r="T35" s="4"/>
      <c r="U35" s="4"/>
      <c r="V35" s="4"/>
      <c r="W35" s="4"/>
      <c r="X35" s="4"/>
      <c r="Y35" s="4"/>
      <c r="Z35" s="4"/>
    </row>
    <row r="36">
      <c r="A36" s="20"/>
      <c r="B36" s="20"/>
      <c r="C36" s="20"/>
      <c r="D36" s="20"/>
      <c r="E36" s="20"/>
      <c r="F36" s="20"/>
      <c r="G36" s="20"/>
      <c r="H36" s="20"/>
      <c r="I36" s="4"/>
      <c r="J36" s="4"/>
      <c r="K36" s="4"/>
      <c r="L36" s="4"/>
      <c r="M36" s="4"/>
      <c r="N36" s="4"/>
      <c r="O36" s="4"/>
      <c r="P36" s="4"/>
      <c r="Q36" s="4"/>
      <c r="R36" s="4"/>
      <c r="S36" s="4"/>
      <c r="T36" s="4"/>
      <c r="U36" s="4"/>
      <c r="V36" s="4"/>
      <c r="W36" s="4"/>
      <c r="X36" s="4"/>
      <c r="Y36" s="4"/>
      <c r="Z36" s="4"/>
    </row>
    <row r="37">
      <c r="A37" s="20"/>
      <c r="B37" s="20"/>
      <c r="C37" s="20"/>
      <c r="D37" s="20"/>
      <c r="E37" s="20"/>
      <c r="F37" s="20"/>
      <c r="G37" s="20"/>
      <c r="H37" s="20"/>
      <c r="I37" s="4"/>
      <c r="J37" s="4"/>
      <c r="K37" s="4"/>
      <c r="L37" s="4"/>
      <c r="M37" s="4"/>
      <c r="N37" s="4"/>
      <c r="O37" s="4"/>
      <c r="P37" s="4"/>
      <c r="Q37" s="4"/>
      <c r="R37" s="4"/>
      <c r="S37" s="4"/>
      <c r="T37" s="4"/>
      <c r="U37" s="4"/>
      <c r="V37" s="4"/>
      <c r="W37" s="4"/>
      <c r="X37" s="4"/>
      <c r="Y37" s="4"/>
      <c r="Z37" s="4"/>
    </row>
    <row r="38">
      <c r="A38" s="20"/>
      <c r="B38" s="20"/>
      <c r="C38" s="20"/>
      <c r="D38" s="20"/>
      <c r="E38" s="20"/>
      <c r="F38" s="20"/>
      <c r="G38" s="20"/>
      <c r="H38" s="20"/>
      <c r="I38" s="4"/>
      <c r="J38" s="4"/>
      <c r="K38" s="4"/>
      <c r="L38" s="4"/>
      <c r="M38" s="4"/>
      <c r="N38" s="4"/>
      <c r="O38" s="4"/>
      <c r="P38" s="4"/>
      <c r="Q38" s="4"/>
      <c r="R38" s="4"/>
      <c r="S38" s="4"/>
      <c r="T38" s="4"/>
      <c r="U38" s="4"/>
      <c r="V38" s="4"/>
      <c r="W38" s="4"/>
      <c r="X38" s="4"/>
      <c r="Y38" s="4"/>
      <c r="Z38" s="4"/>
    </row>
    <row r="39">
      <c r="A39" s="20"/>
      <c r="B39" s="20"/>
      <c r="C39" s="20"/>
      <c r="D39" s="20"/>
      <c r="E39" s="20"/>
      <c r="F39" s="20"/>
      <c r="G39" s="20"/>
      <c r="H39" s="20"/>
      <c r="I39" s="4"/>
      <c r="J39" s="4"/>
      <c r="K39" s="4"/>
      <c r="L39" s="4"/>
      <c r="M39" s="4"/>
      <c r="N39" s="4"/>
      <c r="O39" s="4"/>
      <c r="P39" s="4"/>
      <c r="Q39" s="4"/>
      <c r="R39" s="4"/>
      <c r="S39" s="4"/>
      <c r="T39" s="4"/>
      <c r="U39" s="4"/>
      <c r="V39" s="4"/>
      <c r="W39" s="4"/>
      <c r="X39" s="4"/>
      <c r="Y39" s="4"/>
      <c r="Z39" s="4"/>
    </row>
    <row r="40">
      <c r="A40" s="20"/>
      <c r="B40" s="20"/>
      <c r="C40" s="20"/>
      <c r="D40" s="20"/>
      <c r="E40" s="20"/>
      <c r="F40" s="20"/>
      <c r="G40" s="20"/>
      <c r="H40" s="20"/>
      <c r="I40" s="4"/>
      <c r="J40" s="4"/>
      <c r="K40" s="4"/>
      <c r="L40" s="4"/>
      <c r="M40" s="4"/>
      <c r="N40" s="4"/>
      <c r="O40" s="4"/>
      <c r="P40" s="4"/>
      <c r="Q40" s="4"/>
      <c r="R40" s="4"/>
      <c r="S40" s="4"/>
      <c r="T40" s="4"/>
      <c r="U40" s="4"/>
      <c r="V40" s="4"/>
      <c r="W40" s="4"/>
      <c r="X40" s="4"/>
      <c r="Y40" s="4"/>
      <c r="Z40" s="4"/>
    </row>
    <row r="41">
      <c r="A41" s="20"/>
      <c r="B41" s="20"/>
      <c r="C41" s="20"/>
      <c r="D41" s="20"/>
      <c r="E41" s="20"/>
      <c r="F41" s="20"/>
      <c r="G41" s="20"/>
      <c r="H41" s="20"/>
      <c r="I41" s="4"/>
      <c r="J41" s="4"/>
      <c r="K41" s="4"/>
      <c r="L41" s="4"/>
      <c r="M41" s="4"/>
      <c r="N41" s="4"/>
      <c r="O41" s="4"/>
      <c r="P41" s="4"/>
      <c r="Q41" s="4"/>
      <c r="R41" s="4"/>
      <c r="S41" s="4"/>
      <c r="T41" s="4"/>
      <c r="U41" s="4"/>
      <c r="V41" s="4"/>
      <c r="W41" s="4"/>
      <c r="X41" s="4"/>
      <c r="Y41" s="4"/>
      <c r="Z41" s="4"/>
    </row>
    <row r="42">
      <c r="A42" s="20"/>
      <c r="B42" s="20"/>
      <c r="C42" s="20"/>
      <c r="D42" s="20"/>
      <c r="E42" s="20"/>
      <c r="F42" s="20"/>
      <c r="G42" s="20"/>
      <c r="H42" s="20"/>
      <c r="I42" s="4"/>
      <c r="J42" s="4"/>
      <c r="K42" s="4"/>
      <c r="L42" s="4"/>
      <c r="M42" s="4"/>
      <c r="N42" s="4"/>
      <c r="O42" s="4"/>
      <c r="P42" s="4"/>
      <c r="Q42" s="4"/>
      <c r="R42" s="4"/>
      <c r="S42" s="4"/>
      <c r="T42" s="4"/>
      <c r="U42" s="4"/>
      <c r="V42" s="4"/>
      <c r="W42" s="4"/>
      <c r="X42" s="4"/>
      <c r="Y42" s="4"/>
      <c r="Z42" s="4"/>
    </row>
    <row r="43">
      <c r="A43" s="20"/>
      <c r="B43" s="20"/>
      <c r="C43" s="20"/>
      <c r="D43" s="20"/>
      <c r="E43" s="20"/>
      <c r="F43" s="20"/>
      <c r="G43" s="20"/>
      <c r="H43" s="20"/>
      <c r="I43" s="4"/>
      <c r="J43" s="4"/>
      <c r="K43" s="4"/>
      <c r="L43" s="4"/>
      <c r="M43" s="4"/>
      <c r="N43" s="4"/>
      <c r="O43" s="4"/>
      <c r="P43" s="4"/>
      <c r="Q43" s="4"/>
      <c r="R43" s="4"/>
      <c r="S43" s="4"/>
      <c r="T43" s="4"/>
      <c r="U43" s="4"/>
      <c r="V43" s="4"/>
      <c r="W43" s="4"/>
      <c r="X43" s="4"/>
      <c r="Y43" s="4"/>
      <c r="Z43" s="4"/>
    </row>
    <row r="44">
      <c r="A44" s="20"/>
      <c r="B44" s="20"/>
      <c r="C44" s="20"/>
      <c r="D44" s="20"/>
      <c r="E44" s="20"/>
      <c r="F44" s="20"/>
      <c r="G44" s="20"/>
      <c r="H44" s="20"/>
      <c r="I44" s="4"/>
      <c r="J44" s="4"/>
      <c r="K44" s="4"/>
      <c r="L44" s="4"/>
      <c r="M44" s="4"/>
      <c r="N44" s="4"/>
      <c r="O44" s="4"/>
      <c r="P44" s="4"/>
      <c r="Q44" s="4"/>
      <c r="R44" s="4"/>
      <c r="S44" s="4"/>
      <c r="T44" s="4"/>
      <c r="U44" s="4"/>
      <c r="V44" s="4"/>
      <c r="W44" s="4"/>
      <c r="X44" s="4"/>
      <c r="Y44" s="4"/>
      <c r="Z44" s="4"/>
    </row>
    <row r="45">
      <c r="A45" s="20"/>
      <c r="B45" s="20"/>
      <c r="C45" s="20"/>
      <c r="D45" s="20"/>
      <c r="E45" s="20"/>
      <c r="F45" s="20"/>
      <c r="G45" s="20"/>
      <c r="H45" s="20"/>
      <c r="I45" s="4"/>
      <c r="J45" s="4"/>
      <c r="K45" s="4"/>
      <c r="L45" s="4"/>
      <c r="M45" s="4"/>
      <c r="N45" s="4"/>
      <c r="O45" s="4"/>
      <c r="P45" s="4"/>
      <c r="Q45" s="4"/>
      <c r="R45" s="4"/>
      <c r="S45" s="4"/>
      <c r="T45" s="4"/>
      <c r="U45" s="4"/>
      <c r="V45" s="4"/>
      <c r="W45" s="4"/>
      <c r="X45" s="4"/>
      <c r="Y45" s="4"/>
      <c r="Z45" s="4"/>
    </row>
    <row r="46">
      <c r="A46" s="20"/>
      <c r="B46" s="20"/>
      <c r="C46" s="20"/>
      <c r="D46" s="20"/>
      <c r="E46" s="20"/>
      <c r="F46" s="20"/>
      <c r="G46" s="20"/>
      <c r="H46" s="20"/>
      <c r="I46" s="4"/>
      <c r="J46" s="4"/>
      <c r="K46" s="4"/>
      <c r="L46" s="4"/>
      <c r="M46" s="4"/>
      <c r="N46" s="4"/>
      <c r="O46" s="4"/>
      <c r="P46" s="4"/>
      <c r="Q46" s="4"/>
      <c r="R46" s="4"/>
      <c r="S46" s="4"/>
      <c r="T46" s="4"/>
      <c r="U46" s="4"/>
      <c r="V46" s="4"/>
      <c r="W46" s="4"/>
      <c r="X46" s="4"/>
      <c r="Y46" s="4"/>
      <c r="Z46" s="4"/>
    </row>
    <row r="47">
      <c r="A47" s="20"/>
      <c r="B47" s="20"/>
      <c r="C47" s="20"/>
      <c r="D47" s="20"/>
      <c r="E47" s="20"/>
      <c r="F47" s="20"/>
      <c r="G47" s="20"/>
      <c r="H47" s="20"/>
      <c r="I47" s="4"/>
      <c r="J47" s="4"/>
      <c r="K47" s="4"/>
      <c r="L47" s="4"/>
      <c r="M47" s="4"/>
      <c r="N47" s="4"/>
      <c r="O47" s="4"/>
      <c r="P47" s="4"/>
      <c r="Q47" s="4"/>
      <c r="R47" s="4"/>
      <c r="S47" s="4"/>
      <c r="T47" s="4"/>
      <c r="U47" s="4"/>
      <c r="V47" s="4"/>
      <c r="W47" s="4"/>
      <c r="X47" s="4"/>
      <c r="Y47" s="4"/>
      <c r="Z47" s="4"/>
    </row>
    <row r="48">
      <c r="A48" s="20"/>
      <c r="B48" s="20"/>
      <c r="C48" s="20"/>
      <c r="D48" s="20"/>
      <c r="E48" s="20"/>
      <c r="F48" s="20"/>
      <c r="G48" s="20"/>
      <c r="H48" s="20"/>
      <c r="I48" s="4"/>
      <c r="J48" s="4"/>
      <c r="K48" s="4"/>
      <c r="L48" s="4"/>
      <c r="M48" s="4"/>
      <c r="N48" s="4"/>
      <c r="O48" s="4"/>
      <c r="P48" s="4"/>
      <c r="Q48" s="4"/>
      <c r="R48" s="4"/>
      <c r="S48" s="4"/>
      <c r="T48" s="4"/>
      <c r="U48" s="4"/>
      <c r="V48" s="4"/>
      <c r="W48" s="4"/>
      <c r="X48" s="4"/>
      <c r="Y48" s="4"/>
      <c r="Z48" s="4"/>
    </row>
    <row r="49">
      <c r="A49" s="20"/>
      <c r="B49" s="20"/>
      <c r="C49" s="20"/>
      <c r="D49" s="20"/>
      <c r="E49" s="20"/>
      <c r="F49" s="20"/>
      <c r="G49" s="20"/>
      <c r="H49" s="20"/>
      <c r="I49" s="4"/>
      <c r="J49" s="4"/>
      <c r="K49" s="4"/>
      <c r="L49" s="4"/>
      <c r="M49" s="4"/>
      <c r="N49" s="4"/>
      <c r="O49" s="4"/>
      <c r="P49" s="4"/>
      <c r="Q49" s="4"/>
      <c r="R49" s="4"/>
      <c r="S49" s="4"/>
      <c r="T49" s="4"/>
      <c r="U49" s="4"/>
      <c r="V49" s="4"/>
      <c r="W49" s="4"/>
      <c r="X49" s="4"/>
      <c r="Y49" s="4"/>
      <c r="Z49" s="4"/>
    </row>
    <row r="50">
      <c r="A50" s="20"/>
      <c r="B50" s="20"/>
      <c r="C50" s="20"/>
      <c r="D50" s="20"/>
      <c r="E50" s="20"/>
      <c r="F50" s="20"/>
      <c r="G50" s="20"/>
      <c r="H50" s="20"/>
      <c r="I50" s="4"/>
      <c r="J50" s="4"/>
      <c r="K50" s="4"/>
      <c r="L50" s="4"/>
      <c r="M50" s="4"/>
      <c r="N50" s="4"/>
      <c r="O50" s="4"/>
      <c r="P50" s="4"/>
      <c r="Q50" s="4"/>
      <c r="R50" s="4"/>
      <c r="S50" s="4"/>
      <c r="T50" s="4"/>
      <c r="U50" s="4"/>
      <c r="V50" s="4"/>
      <c r="W50" s="4"/>
      <c r="X50" s="4"/>
      <c r="Y50" s="4"/>
      <c r="Z50" s="4"/>
    </row>
    <row r="51">
      <c r="A51" s="20"/>
      <c r="B51" s="20"/>
      <c r="C51" s="20"/>
      <c r="D51" s="20"/>
      <c r="E51" s="20"/>
      <c r="F51" s="20"/>
      <c r="G51" s="20"/>
      <c r="H51" s="20"/>
      <c r="I51" s="4"/>
      <c r="J51" s="4"/>
      <c r="K51" s="4"/>
      <c r="L51" s="4"/>
      <c r="M51" s="4"/>
      <c r="N51" s="4"/>
      <c r="O51" s="4"/>
      <c r="P51" s="4"/>
      <c r="Q51" s="4"/>
      <c r="R51" s="4"/>
      <c r="S51" s="4"/>
      <c r="T51" s="4"/>
      <c r="U51" s="4"/>
      <c r="V51" s="4"/>
      <c r="W51" s="4"/>
      <c r="X51" s="4"/>
      <c r="Y51" s="4"/>
      <c r="Z51" s="4"/>
    </row>
    <row r="52">
      <c r="A52" s="20"/>
      <c r="B52" s="20"/>
      <c r="C52" s="20"/>
      <c r="D52" s="20"/>
      <c r="E52" s="20"/>
      <c r="F52" s="20"/>
      <c r="G52" s="20"/>
      <c r="H52" s="20"/>
      <c r="I52" s="4"/>
      <c r="J52" s="4"/>
      <c r="K52" s="4"/>
      <c r="L52" s="4"/>
      <c r="M52" s="4"/>
      <c r="N52" s="4"/>
      <c r="O52" s="4"/>
      <c r="P52" s="4"/>
      <c r="Q52" s="4"/>
      <c r="R52" s="4"/>
      <c r="S52" s="4"/>
      <c r="T52" s="4"/>
      <c r="U52" s="4"/>
      <c r="V52" s="4"/>
      <c r="W52" s="4"/>
      <c r="X52" s="4"/>
      <c r="Y52" s="4"/>
      <c r="Z52" s="4"/>
    </row>
    <row r="53">
      <c r="A53" s="20"/>
      <c r="B53" s="20"/>
      <c r="C53" s="20"/>
      <c r="D53" s="20"/>
      <c r="E53" s="20"/>
      <c r="F53" s="20"/>
      <c r="G53" s="20"/>
      <c r="H53" s="20"/>
      <c r="I53" s="4"/>
      <c r="J53" s="4"/>
      <c r="K53" s="4"/>
      <c r="L53" s="4"/>
      <c r="M53" s="4"/>
      <c r="N53" s="4"/>
      <c r="O53" s="4"/>
      <c r="P53" s="4"/>
      <c r="Q53" s="4"/>
      <c r="R53" s="4"/>
      <c r="S53" s="4"/>
      <c r="T53" s="4"/>
      <c r="U53" s="4"/>
      <c r="V53" s="4"/>
      <c r="W53" s="4"/>
      <c r="X53" s="4"/>
      <c r="Y53" s="4"/>
      <c r="Z53" s="4"/>
    </row>
    <row r="54">
      <c r="A54" s="20"/>
      <c r="B54" s="20"/>
      <c r="C54" s="20"/>
      <c r="D54" s="20"/>
      <c r="E54" s="20"/>
      <c r="F54" s="20"/>
      <c r="G54" s="20"/>
      <c r="H54" s="20"/>
      <c r="I54" s="4"/>
      <c r="J54" s="4"/>
      <c r="K54" s="4"/>
      <c r="L54" s="4"/>
      <c r="M54" s="4"/>
      <c r="N54" s="4"/>
      <c r="O54" s="4"/>
      <c r="P54" s="4"/>
      <c r="Q54" s="4"/>
      <c r="R54" s="4"/>
      <c r="S54" s="4"/>
      <c r="T54" s="4"/>
      <c r="U54" s="4"/>
      <c r="V54" s="4"/>
      <c r="W54" s="4"/>
      <c r="X54" s="4"/>
      <c r="Y54" s="4"/>
      <c r="Z54" s="4"/>
    </row>
    <row r="55">
      <c r="A55" s="20"/>
      <c r="B55" s="20"/>
      <c r="C55" s="20"/>
      <c r="D55" s="20"/>
      <c r="E55" s="20"/>
      <c r="F55" s="20"/>
      <c r="G55" s="20"/>
      <c r="H55" s="20"/>
      <c r="I55" s="4"/>
      <c r="J55" s="4"/>
      <c r="K55" s="4"/>
      <c r="L55" s="4"/>
      <c r="M55" s="4"/>
      <c r="N55" s="4"/>
      <c r="O55" s="4"/>
      <c r="P55" s="4"/>
      <c r="Q55" s="4"/>
      <c r="R55" s="4"/>
      <c r="S55" s="4"/>
      <c r="T55" s="4"/>
      <c r="U55" s="4"/>
      <c r="V55" s="4"/>
      <c r="W55" s="4"/>
      <c r="X55" s="4"/>
      <c r="Y55" s="4"/>
      <c r="Z55" s="4"/>
    </row>
    <row r="56">
      <c r="A56" s="20"/>
      <c r="B56" s="20"/>
      <c r="C56" s="20"/>
      <c r="D56" s="20"/>
      <c r="E56" s="20"/>
      <c r="F56" s="20"/>
      <c r="G56" s="20"/>
      <c r="H56" s="20"/>
      <c r="I56" s="4"/>
      <c r="J56" s="4"/>
      <c r="K56" s="4"/>
      <c r="L56" s="4"/>
      <c r="M56" s="4"/>
      <c r="N56" s="4"/>
      <c r="O56" s="4"/>
      <c r="P56" s="4"/>
      <c r="Q56" s="4"/>
      <c r="R56" s="4"/>
      <c r="S56" s="4"/>
      <c r="T56" s="4"/>
      <c r="U56" s="4"/>
      <c r="V56" s="4"/>
      <c r="W56" s="4"/>
      <c r="X56" s="4"/>
      <c r="Y56" s="4"/>
      <c r="Z56" s="4"/>
    </row>
    <row r="57">
      <c r="A57" s="20"/>
      <c r="B57" s="20"/>
      <c r="C57" s="20"/>
      <c r="D57" s="20"/>
      <c r="E57" s="20"/>
      <c r="F57" s="20"/>
      <c r="G57" s="20"/>
      <c r="H57" s="20"/>
      <c r="I57" s="4"/>
      <c r="J57" s="4"/>
      <c r="K57" s="4"/>
      <c r="L57" s="4"/>
      <c r="M57" s="4"/>
      <c r="N57" s="4"/>
      <c r="O57" s="4"/>
      <c r="P57" s="4"/>
      <c r="Q57" s="4"/>
      <c r="R57" s="4"/>
      <c r="S57" s="4"/>
      <c r="T57" s="4"/>
      <c r="U57" s="4"/>
      <c r="V57" s="4"/>
      <c r="W57" s="4"/>
      <c r="X57" s="4"/>
      <c r="Y57" s="4"/>
      <c r="Z57" s="4"/>
    </row>
    <row r="58">
      <c r="A58" s="20"/>
      <c r="B58" s="20"/>
      <c r="C58" s="20"/>
      <c r="D58" s="20"/>
      <c r="E58" s="20"/>
      <c r="F58" s="20"/>
      <c r="G58" s="20"/>
      <c r="H58" s="20"/>
      <c r="I58" s="4"/>
      <c r="J58" s="4"/>
      <c r="K58" s="4"/>
      <c r="L58" s="4"/>
      <c r="M58" s="4"/>
      <c r="N58" s="4"/>
      <c r="O58" s="4"/>
      <c r="P58" s="4"/>
      <c r="Q58" s="4"/>
      <c r="R58" s="4"/>
      <c r="S58" s="4"/>
      <c r="T58" s="4"/>
      <c r="U58" s="4"/>
      <c r="V58" s="4"/>
      <c r="W58" s="4"/>
      <c r="X58" s="4"/>
      <c r="Y58" s="4"/>
      <c r="Z58" s="4"/>
    </row>
    <row r="59">
      <c r="A59" s="20"/>
      <c r="B59" s="20"/>
      <c r="C59" s="20"/>
      <c r="D59" s="20"/>
      <c r="E59" s="20"/>
      <c r="F59" s="20"/>
      <c r="G59" s="20"/>
      <c r="H59" s="20"/>
      <c r="I59" s="4"/>
      <c r="J59" s="4"/>
      <c r="K59" s="4"/>
      <c r="L59" s="4"/>
      <c r="M59" s="4"/>
      <c r="N59" s="4"/>
      <c r="O59" s="4"/>
      <c r="P59" s="4"/>
      <c r="Q59" s="4"/>
      <c r="R59" s="4"/>
      <c r="S59" s="4"/>
      <c r="T59" s="4"/>
      <c r="U59" s="4"/>
      <c r="V59" s="4"/>
      <c r="W59" s="4"/>
      <c r="X59" s="4"/>
      <c r="Y59" s="4"/>
      <c r="Z59" s="4"/>
    </row>
    <row r="60">
      <c r="A60" s="20"/>
      <c r="B60" s="20"/>
      <c r="C60" s="20"/>
      <c r="D60" s="20"/>
      <c r="E60" s="20"/>
      <c r="F60" s="20"/>
      <c r="G60" s="20"/>
      <c r="H60" s="20"/>
      <c r="I60" s="4"/>
      <c r="J60" s="4"/>
      <c r="K60" s="4"/>
      <c r="L60" s="4"/>
      <c r="M60" s="4"/>
      <c r="N60" s="4"/>
      <c r="O60" s="4"/>
      <c r="P60" s="4"/>
      <c r="Q60" s="4"/>
      <c r="R60" s="4"/>
      <c r="S60" s="4"/>
      <c r="T60" s="4"/>
      <c r="U60" s="4"/>
      <c r="V60" s="4"/>
      <c r="W60" s="4"/>
      <c r="X60" s="4"/>
      <c r="Y60" s="4"/>
      <c r="Z60" s="4"/>
    </row>
    <row r="61">
      <c r="A61" s="20"/>
      <c r="B61" s="20"/>
      <c r="C61" s="20"/>
      <c r="D61" s="20"/>
      <c r="E61" s="20"/>
      <c r="F61" s="20"/>
      <c r="G61" s="20"/>
      <c r="H61" s="20"/>
      <c r="I61" s="4"/>
      <c r="J61" s="4"/>
      <c r="K61" s="4"/>
      <c r="L61" s="4"/>
      <c r="M61" s="4"/>
      <c r="N61" s="4"/>
      <c r="O61" s="4"/>
      <c r="P61" s="4"/>
      <c r="Q61" s="4"/>
      <c r="R61" s="4"/>
      <c r="S61" s="4"/>
      <c r="T61" s="4"/>
      <c r="U61" s="4"/>
      <c r="V61" s="4"/>
      <c r="W61" s="4"/>
      <c r="X61" s="4"/>
      <c r="Y61" s="4"/>
      <c r="Z61" s="4"/>
    </row>
    <row r="62">
      <c r="A62" s="20"/>
      <c r="B62" s="20"/>
      <c r="C62" s="20"/>
      <c r="D62" s="20"/>
      <c r="E62" s="20"/>
      <c r="F62" s="20"/>
      <c r="G62" s="20"/>
      <c r="H62" s="20"/>
      <c r="I62" s="4"/>
      <c r="J62" s="4"/>
      <c r="K62" s="4"/>
      <c r="L62" s="4"/>
      <c r="M62" s="4"/>
      <c r="N62" s="4"/>
      <c r="O62" s="4"/>
      <c r="P62" s="4"/>
      <c r="Q62" s="4"/>
      <c r="R62" s="4"/>
      <c r="S62" s="4"/>
      <c r="T62" s="4"/>
      <c r="U62" s="4"/>
      <c r="V62" s="4"/>
      <c r="W62" s="4"/>
      <c r="X62" s="4"/>
      <c r="Y62" s="4"/>
      <c r="Z62" s="4"/>
    </row>
    <row r="63">
      <c r="A63" s="20"/>
      <c r="B63" s="20"/>
      <c r="C63" s="20"/>
      <c r="D63" s="20"/>
      <c r="E63" s="20"/>
      <c r="F63" s="20"/>
      <c r="G63" s="20"/>
      <c r="H63" s="20"/>
      <c r="I63" s="4"/>
      <c r="J63" s="4"/>
      <c r="K63" s="4"/>
      <c r="L63" s="4"/>
      <c r="M63" s="4"/>
      <c r="N63" s="4"/>
      <c r="O63" s="4"/>
      <c r="P63" s="4"/>
      <c r="Q63" s="4"/>
      <c r="R63" s="4"/>
      <c r="S63" s="4"/>
      <c r="T63" s="4"/>
      <c r="U63" s="4"/>
      <c r="V63" s="4"/>
      <c r="W63" s="4"/>
      <c r="X63" s="4"/>
      <c r="Y63" s="4"/>
      <c r="Z63" s="4"/>
    </row>
    <row r="64">
      <c r="A64" s="20"/>
      <c r="B64" s="20"/>
      <c r="C64" s="20"/>
      <c r="D64" s="20"/>
      <c r="E64" s="20"/>
      <c r="F64" s="20"/>
      <c r="G64" s="20"/>
      <c r="H64" s="20"/>
      <c r="I64" s="4"/>
      <c r="J64" s="4"/>
      <c r="K64" s="4"/>
      <c r="L64" s="4"/>
      <c r="M64" s="4"/>
      <c r="N64" s="4"/>
      <c r="O64" s="4"/>
      <c r="P64" s="4"/>
      <c r="Q64" s="4"/>
      <c r="R64" s="4"/>
      <c r="S64" s="4"/>
      <c r="T64" s="4"/>
      <c r="U64" s="4"/>
      <c r="V64" s="4"/>
      <c r="W64" s="4"/>
      <c r="X64" s="4"/>
      <c r="Y64" s="4"/>
      <c r="Z64" s="4"/>
    </row>
    <row r="65">
      <c r="A65" s="20"/>
      <c r="B65" s="20"/>
      <c r="C65" s="20"/>
      <c r="D65" s="20"/>
      <c r="E65" s="20"/>
      <c r="F65" s="20"/>
      <c r="G65" s="20"/>
      <c r="H65" s="20"/>
      <c r="I65" s="4"/>
      <c r="J65" s="4"/>
      <c r="K65" s="4"/>
      <c r="L65" s="4"/>
      <c r="M65" s="4"/>
      <c r="N65" s="4"/>
      <c r="O65" s="4"/>
      <c r="P65" s="4"/>
      <c r="Q65" s="4"/>
      <c r="R65" s="4"/>
      <c r="S65" s="4"/>
      <c r="T65" s="4"/>
      <c r="U65" s="4"/>
      <c r="V65" s="4"/>
      <c r="W65" s="4"/>
      <c r="X65" s="4"/>
      <c r="Y65" s="4"/>
      <c r="Z65" s="4"/>
    </row>
    <row r="66">
      <c r="A66" s="20"/>
      <c r="B66" s="20"/>
      <c r="C66" s="20"/>
      <c r="D66" s="20"/>
      <c r="E66" s="20"/>
      <c r="F66" s="20"/>
      <c r="G66" s="20"/>
      <c r="H66" s="20"/>
      <c r="I66" s="4"/>
      <c r="J66" s="4"/>
      <c r="K66" s="4"/>
      <c r="L66" s="4"/>
      <c r="M66" s="4"/>
      <c r="N66" s="4"/>
      <c r="O66" s="4"/>
      <c r="P66" s="4"/>
      <c r="Q66" s="4"/>
      <c r="R66" s="4"/>
      <c r="S66" s="4"/>
      <c r="T66" s="4"/>
      <c r="U66" s="4"/>
      <c r="V66" s="4"/>
      <c r="W66" s="4"/>
      <c r="X66" s="4"/>
      <c r="Y66" s="4"/>
      <c r="Z66" s="4"/>
    </row>
    <row r="67">
      <c r="A67" s="20"/>
      <c r="B67" s="20"/>
      <c r="C67" s="20"/>
      <c r="D67" s="20"/>
      <c r="E67" s="20"/>
      <c r="F67" s="20"/>
      <c r="G67" s="20"/>
      <c r="H67" s="20"/>
      <c r="I67" s="4"/>
      <c r="J67" s="4"/>
      <c r="K67" s="4"/>
      <c r="L67" s="4"/>
      <c r="M67" s="4"/>
      <c r="N67" s="4"/>
      <c r="O67" s="4"/>
      <c r="P67" s="4"/>
      <c r="Q67" s="4"/>
      <c r="R67" s="4"/>
      <c r="S67" s="4"/>
      <c r="T67" s="4"/>
      <c r="U67" s="4"/>
      <c r="V67" s="4"/>
      <c r="W67" s="4"/>
      <c r="X67" s="4"/>
      <c r="Y67" s="4"/>
      <c r="Z67" s="4"/>
    </row>
    <row r="68">
      <c r="A68" s="20"/>
      <c r="B68" s="20"/>
      <c r="C68" s="20"/>
      <c r="D68" s="20"/>
      <c r="E68" s="20"/>
      <c r="F68" s="20"/>
      <c r="G68" s="20"/>
      <c r="H68" s="20"/>
      <c r="I68" s="4"/>
      <c r="J68" s="4"/>
      <c r="K68" s="4"/>
      <c r="L68" s="4"/>
      <c r="M68" s="4"/>
      <c r="N68" s="4"/>
      <c r="O68" s="4"/>
      <c r="P68" s="4"/>
      <c r="Q68" s="4"/>
      <c r="R68" s="4"/>
      <c r="S68" s="4"/>
      <c r="T68" s="4"/>
      <c r="U68" s="4"/>
      <c r="V68" s="4"/>
      <c r="W68" s="4"/>
      <c r="X68" s="4"/>
      <c r="Y68" s="4"/>
      <c r="Z68" s="4"/>
    </row>
    <row r="69">
      <c r="A69" s="20"/>
      <c r="B69" s="20"/>
      <c r="C69" s="20"/>
      <c r="D69" s="20"/>
      <c r="E69" s="20"/>
      <c r="F69" s="20"/>
      <c r="G69" s="20"/>
      <c r="H69" s="20"/>
      <c r="I69" s="4"/>
      <c r="J69" s="4"/>
      <c r="K69" s="4"/>
      <c r="L69" s="4"/>
      <c r="M69" s="4"/>
      <c r="N69" s="4"/>
      <c r="O69" s="4"/>
      <c r="P69" s="4"/>
      <c r="Q69" s="4"/>
      <c r="R69" s="4"/>
      <c r="S69" s="4"/>
      <c r="T69" s="4"/>
      <c r="U69" s="4"/>
      <c r="V69" s="4"/>
      <c r="W69" s="4"/>
      <c r="X69" s="4"/>
      <c r="Y69" s="4"/>
      <c r="Z69" s="4"/>
    </row>
    <row r="70">
      <c r="A70" s="20"/>
      <c r="B70" s="20"/>
      <c r="C70" s="20"/>
      <c r="D70" s="20"/>
      <c r="E70" s="20"/>
      <c r="F70" s="20"/>
      <c r="G70" s="20"/>
      <c r="H70" s="20"/>
      <c r="I70" s="4"/>
      <c r="J70" s="4"/>
      <c r="K70" s="4"/>
      <c r="L70" s="4"/>
      <c r="M70" s="4"/>
      <c r="N70" s="4"/>
      <c r="O70" s="4"/>
      <c r="P70" s="4"/>
      <c r="Q70" s="4"/>
      <c r="R70" s="4"/>
      <c r="S70" s="4"/>
      <c r="T70" s="4"/>
      <c r="U70" s="4"/>
      <c r="V70" s="4"/>
      <c r="W70" s="4"/>
      <c r="X70" s="4"/>
      <c r="Y70" s="4"/>
      <c r="Z70" s="4"/>
    </row>
    <row r="71">
      <c r="A71" s="20"/>
      <c r="B71" s="20"/>
      <c r="C71" s="20"/>
      <c r="D71" s="20"/>
      <c r="E71" s="20"/>
      <c r="F71" s="20"/>
      <c r="G71" s="20"/>
      <c r="H71" s="20"/>
      <c r="I71" s="4"/>
      <c r="J71" s="4"/>
      <c r="K71" s="4"/>
      <c r="L71" s="4"/>
      <c r="M71" s="4"/>
      <c r="N71" s="4"/>
      <c r="O71" s="4"/>
      <c r="P71" s="4"/>
      <c r="Q71" s="4"/>
      <c r="R71" s="4"/>
      <c r="S71" s="4"/>
      <c r="T71" s="4"/>
      <c r="U71" s="4"/>
      <c r="V71" s="4"/>
      <c r="W71" s="4"/>
      <c r="X71" s="4"/>
      <c r="Y71" s="4"/>
      <c r="Z71" s="4"/>
    </row>
    <row r="72">
      <c r="A72" s="20"/>
      <c r="B72" s="20"/>
      <c r="C72" s="20"/>
      <c r="D72" s="20"/>
      <c r="E72" s="20"/>
      <c r="F72" s="20"/>
      <c r="G72" s="20"/>
      <c r="H72" s="20"/>
      <c r="I72" s="4"/>
      <c r="J72" s="4"/>
      <c r="K72" s="4"/>
      <c r="L72" s="4"/>
      <c r="M72" s="4"/>
      <c r="N72" s="4"/>
      <c r="O72" s="4"/>
      <c r="P72" s="4"/>
      <c r="Q72" s="4"/>
      <c r="R72" s="4"/>
      <c r="S72" s="4"/>
      <c r="T72" s="4"/>
      <c r="U72" s="4"/>
      <c r="V72" s="4"/>
      <c r="W72" s="4"/>
      <c r="X72" s="4"/>
      <c r="Y72" s="4"/>
      <c r="Z72" s="4"/>
    </row>
    <row r="73">
      <c r="A73" s="20"/>
      <c r="B73" s="20"/>
      <c r="C73" s="20"/>
      <c r="D73" s="20"/>
      <c r="E73" s="20"/>
      <c r="F73" s="20"/>
      <c r="G73" s="20"/>
      <c r="H73" s="20"/>
      <c r="I73" s="4"/>
      <c r="J73" s="4"/>
      <c r="K73" s="4"/>
      <c r="L73" s="4"/>
      <c r="M73" s="4"/>
      <c r="N73" s="4"/>
      <c r="O73" s="4"/>
      <c r="P73" s="4"/>
      <c r="Q73" s="4"/>
      <c r="R73" s="4"/>
      <c r="S73" s="4"/>
      <c r="T73" s="4"/>
      <c r="U73" s="4"/>
      <c r="V73" s="4"/>
      <c r="W73" s="4"/>
      <c r="X73" s="4"/>
      <c r="Y73" s="4"/>
      <c r="Z73" s="4"/>
    </row>
    <row r="74">
      <c r="A74" s="20"/>
      <c r="B74" s="20"/>
      <c r="C74" s="20"/>
      <c r="D74" s="20"/>
      <c r="E74" s="20"/>
      <c r="F74" s="20"/>
      <c r="G74" s="20"/>
      <c r="H74" s="20"/>
      <c r="I74" s="4"/>
      <c r="J74" s="4"/>
      <c r="K74" s="4"/>
      <c r="L74" s="4"/>
      <c r="M74" s="4"/>
      <c r="N74" s="4"/>
      <c r="O74" s="4"/>
      <c r="P74" s="4"/>
      <c r="Q74" s="4"/>
      <c r="R74" s="4"/>
      <c r="S74" s="4"/>
      <c r="T74" s="4"/>
      <c r="U74" s="4"/>
      <c r="V74" s="4"/>
      <c r="W74" s="4"/>
      <c r="X74" s="4"/>
      <c r="Y74" s="4"/>
      <c r="Z74" s="4"/>
    </row>
    <row r="75">
      <c r="A75" s="20"/>
      <c r="B75" s="20"/>
      <c r="C75" s="20"/>
      <c r="D75" s="20"/>
      <c r="E75" s="20"/>
      <c r="F75" s="20"/>
      <c r="G75" s="20"/>
      <c r="H75" s="20"/>
      <c r="I75" s="4"/>
      <c r="J75" s="4"/>
      <c r="K75" s="4"/>
      <c r="L75" s="4"/>
      <c r="M75" s="4"/>
      <c r="N75" s="4"/>
      <c r="O75" s="4"/>
      <c r="P75" s="4"/>
      <c r="Q75" s="4"/>
      <c r="R75" s="4"/>
      <c r="S75" s="4"/>
      <c r="T75" s="4"/>
      <c r="U75" s="4"/>
      <c r="V75" s="4"/>
      <c r="W75" s="4"/>
      <c r="X75" s="4"/>
      <c r="Y75" s="4"/>
      <c r="Z75" s="4"/>
    </row>
    <row r="76">
      <c r="A76" s="20"/>
      <c r="B76" s="20"/>
      <c r="C76" s="20"/>
      <c r="D76" s="20"/>
      <c r="E76" s="20"/>
      <c r="F76" s="20"/>
      <c r="G76" s="20"/>
      <c r="H76" s="20"/>
      <c r="I76" s="4"/>
      <c r="J76" s="4"/>
      <c r="K76" s="4"/>
      <c r="L76" s="4"/>
      <c r="M76" s="4"/>
      <c r="N76" s="4"/>
      <c r="O76" s="4"/>
      <c r="P76" s="4"/>
      <c r="Q76" s="4"/>
      <c r="R76" s="4"/>
      <c r="S76" s="4"/>
      <c r="T76" s="4"/>
      <c r="U76" s="4"/>
      <c r="V76" s="4"/>
      <c r="W76" s="4"/>
      <c r="X76" s="4"/>
      <c r="Y76" s="4"/>
      <c r="Z76" s="4"/>
    </row>
    <row r="77">
      <c r="A77" s="20"/>
      <c r="B77" s="20"/>
      <c r="C77" s="20"/>
      <c r="D77" s="20"/>
      <c r="E77" s="20"/>
      <c r="F77" s="20"/>
      <c r="G77" s="20"/>
      <c r="H77" s="20"/>
      <c r="I77" s="4"/>
      <c r="J77" s="4"/>
      <c r="K77" s="4"/>
      <c r="L77" s="4"/>
      <c r="M77" s="4"/>
      <c r="N77" s="4"/>
      <c r="O77" s="4"/>
      <c r="P77" s="4"/>
      <c r="Q77" s="4"/>
      <c r="R77" s="4"/>
      <c r="S77" s="4"/>
      <c r="T77" s="4"/>
      <c r="U77" s="4"/>
      <c r="V77" s="4"/>
      <c r="W77" s="4"/>
      <c r="X77" s="4"/>
      <c r="Y77" s="4"/>
      <c r="Z77" s="4"/>
    </row>
    <row r="78">
      <c r="A78" s="20"/>
      <c r="B78" s="20"/>
      <c r="C78" s="20"/>
      <c r="D78" s="20"/>
      <c r="E78" s="20"/>
      <c r="F78" s="20"/>
      <c r="G78" s="20"/>
      <c r="H78" s="20"/>
      <c r="I78" s="4"/>
      <c r="J78" s="4"/>
      <c r="K78" s="4"/>
      <c r="L78" s="4"/>
      <c r="M78" s="4"/>
      <c r="N78" s="4"/>
      <c r="O78" s="4"/>
      <c r="P78" s="4"/>
      <c r="Q78" s="4"/>
      <c r="R78" s="4"/>
      <c r="S78" s="4"/>
      <c r="T78" s="4"/>
      <c r="U78" s="4"/>
      <c r="V78" s="4"/>
      <c r="W78" s="4"/>
      <c r="X78" s="4"/>
      <c r="Y78" s="4"/>
      <c r="Z78" s="4"/>
    </row>
    <row r="79">
      <c r="A79" s="20"/>
      <c r="B79" s="20"/>
      <c r="C79" s="20"/>
      <c r="D79" s="20"/>
      <c r="E79" s="20"/>
      <c r="F79" s="20"/>
      <c r="G79" s="20"/>
      <c r="H79" s="20"/>
      <c r="I79" s="4"/>
      <c r="J79" s="4"/>
      <c r="K79" s="4"/>
      <c r="L79" s="4"/>
      <c r="M79" s="4"/>
      <c r="N79" s="4"/>
      <c r="O79" s="4"/>
      <c r="P79" s="4"/>
      <c r="Q79" s="4"/>
      <c r="R79" s="4"/>
      <c r="S79" s="4"/>
      <c r="T79" s="4"/>
      <c r="U79" s="4"/>
      <c r="V79" s="4"/>
      <c r="W79" s="4"/>
      <c r="X79" s="4"/>
      <c r="Y79" s="4"/>
      <c r="Z79" s="4"/>
    </row>
    <row r="80">
      <c r="A80" s="20"/>
      <c r="B80" s="20"/>
      <c r="C80" s="20"/>
      <c r="D80" s="20"/>
      <c r="E80" s="20"/>
      <c r="F80" s="20"/>
      <c r="G80" s="20"/>
      <c r="H80" s="20"/>
      <c r="I80" s="4"/>
      <c r="J80" s="4"/>
      <c r="K80" s="4"/>
      <c r="L80" s="4"/>
      <c r="M80" s="4"/>
      <c r="N80" s="4"/>
      <c r="O80" s="4"/>
      <c r="P80" s="4"/>
      <c r="Q80" s="4"/>
      <c r="R80" s="4"/>
      <c r="S80" s="4"/>
      <c r="T80" s="4"/>
      <c r="U80" s="4"/>
      <c r="V80" s="4"/>
      <c r="W80" s="4"/>
      <c r="X80" s="4"/>
      <c r="Y80" s="4"/>
      <c r="Z80" s="4"/>
    </row>
    <row r="81">
      <c r="A81" s="20"/>
      <c r="B81" s="20"/>
      <c r="C81" s="20"/>
      <c r="D81" s="20"/>
      <c r="E81" s="20"/>
      <c r="F81" s="20"/>
      <c r="G81" s="20"/>
      <c r="H81" s="20"/>
      <c r="I81" s="4"/>
      <c r="J81" s="4"/>
      <c r="K81" s="4"/>
      <c r="L81" s="4"/>
      <c r="M81" s="4"/>
      <c r="N81" s="4"/>
      <c r="O81" s="4"/>
      <c r="P81" s="4"/>
      <c r="Q81" s="4"/>
      <c r="R81" s="4"/>
      <c r="S81" s="4"/>
      <c r="T81" s="4"/>
      <c r="U81" s="4"/>
      <c r="V81" s="4"/>
      <c r="W81" s="4"/>
      <c r="X81" s="4"/>
      <c r="Y81" s="4"/>
      <c r="Z81" s="4"/>
    </row>
    <row r="82">
      <c r="A82" s="20"/>
      <c r="B82" s="20"/>
      <c r="C82" s="20"/>
      <c r="D82" s="20"/>
      <c r="E82" s="20"/>
      <c r="F82" s="20"/>
      <c r="G82" s="20"/>
      <c r="H82" s="20"/>
      <c r="I82" s="4"/>
      <c r="J82" s="4"/>
      <c r="K82" s="4"/>
      <c r="L82" s="4"/>
      <c r="M82" s="4"/>
      <c r="N82" s="4"/>
      <c r="O82" s="4"/>
      <c r="P82" s="4"/>
      <c r="Q82" s="4"/>
      <c r="R82" s="4"/>
      <c r="S82" s="4"/>
      <c r="T82" s="4"/>
      <c r="U82" s="4"/>
      <c r="V82" s="4"/>
      <c r="W82" s="4"/>
      <c r="X82" s="4"/>
      <c r="Y82" s="4"/>
      <c r="Z82" s="4"/>
    </row>
    <row r="83">
      <c r="A83" s="20"/>
      <c r="B83" s="20"/>
      <c r="C83" s="20"/>
      <c r="D83" s="20"/>
      <c r="E83" s="20"/>
      <c r="F83" s="20"/>
      <c r="G83" s="20"/>
      <c r="H83" s="20"/>
      <c r="I83" s="4"/>
      <c r="J83" s="4"/>
      <c r="K83" s="4"/>
      <c r="L83" s="4"/>
      <c r="M83" s="4"/>
      <c r="N83" s="4"/>
      <c r="O83" s="4"/>
      <c r="P83" s="4"/>
      <c r="Q83" s="4"/>
      <c r="R83" s="4"/>
      <c r="S83" s="4"/>
      <c r="T83" s="4"/>
      <c r="U83" s="4"/>
      <c r="V83" s="4"/>
      <c r="W83" s="4"/>
      <c r="X83" s="4"/>
      <c r="Y83" s="4"/>
      <c r="Z83" s="4"/>
    </row>
    <row r="84">
      <c r="A84" s="20"/>
      <c r="B84" s="20"/>
      <c r="C84" s="20"/>
      <c r="D84" s="20"/>
      <c r="E84" s="20"/>
      <c r="F84" s="20"/>
      <c r="G84" s="20"/>
      <c r="H84" s="20"/>
      <c r="I84" s="4"/>
      <c r="J84" s="4"/>
      <c r="K84" s="4"/>
      <c r="L84" s="4"/>
      <c r="M84" s="4"/>
      <c r="N84" s="4"/>
      <c r="O84" s="4"/>
      <c r="P84" s="4"/>
      <c r="Q84" s="4"/>
      <c r="R84" s="4"/>
      <c r="S84" s="4"/>
      <c r="T84" s="4"/>
      <c r="U84" s="4"/>
      <c r="V84" s="4"/>
      <c r="W84" s="4"/>
      <c r="X84" s="4"/>
      <c r="Y84" s="4"/>
      <c r="Z84" s="4"/>
    </row>
    <row r="85">
      <c r="A85" s="20"/>
      <c r="B85" s="20"/>
      <c r="C85" s="20"/>
      <c r="D85" s="20"/>
      <c r="E85" s="20"/>
      <c r="F85" s="20"/>
      <c r="G85" s="20"/>
      <c r="H85" s="20"/>
      <c r="I85" s="4"/>
      <c r="J85" s="4"/>
      <c r="K85" s="4"/>
      <c r="L85" s="4"/>
      <c r="M85" s="4"/>
      <c r="N85" s="4"/>
      <c r="O85" s="4"/>
      <c r="P85" s="4"/>
      <c r="Q85" s="4"/>
      <c r="R85" s="4"/>
      <c r="S85" s="4"/>
      <c r="T85" s="4"/>
      <c r="U85" s="4"/>
      <c r="V85" s="4"/>
      <c r="W85" s="4"/>
      <c r="X85" s="4"/>
      <c r="Y85" s="4"/>
      <c r="Z85" s="4"/>
    </row>
    <row r="86">
      <c r="A86" s="20"/>
      <c r="B86" s="20"/>
      <c r="C86" s="20"/>
      <c r="D86" s="20"/>
      <c r="E86" s="20"/>
      <c r="F86" s="20"/>
      <c r="G86" s="20"/>
      <c r="H86" s="20"/>
      <c r="I86" s="4"/>
      <c r="J86" s="4"/>
      <c r="K86" s="4"/>
      <c r="L86" s="4"/>
      <c r="M86" s="4"/>
      <c r="N86" s="4"/>
      <c r="O86" s="4"/>
      <c r="P86" s="4"/>
      <c r="Q86" s="4"/>
      <c r="R86" s="4"/>
      <c r="S86" s="4"/>
      <c r="T86" s="4"/>
      <c r="U86" s="4"/>
      <c r="V86" s="4"/>
      <c r="W86" s="4"/>
      <c r="X86" s="4"/>
      <c r="Y86" s="4"/>
      <c r="Z86" s="4"/>
    </row>
    <row r="87">
      <c r="A87" s="20"/>
      <c r="B87" s="20"/>
      <c r="C87" s="20"/>
      <c r="D87" s="20"/>
      <c r="E87" s="20"/>
      <c r="F87" s="20"/>
      <c r="G87" s="20"/>
      <c r="H87" s="20"/>
      <c r="I87" s="4"/>
      <c r="J87" s="4"/>
      <c r="K87" s="4"/>
      <c r="L87" s="4"/>
      <c r="M87" s="4"/>
      <c r="N87" s="4"/>
      <c r="O87" s="4"/>
      <c r="P87" s="4"/>
      <c r="Q87" s="4"/>
      <c r="R87" s="4"/>
      <c r="S87" s="4"/>
      <c r="T87" s="4"/>
      <c r="U87" s="4"/>
      <c r="V87" s="4"/>
      <c r="W87" s="4"/>
      <c r="X87" s="4"/>
      <c r="Y87" s="4"/>
      <c r="Z87" s="4"/>
    </row>
    <row r="88">
      <c r="A88" s="20"/>
      <c r="B88" s="20"/>
      <c r="C88" s="20"/>
      <c r="D88" s="20"/>
      <c r="E88" s="20"/>
      <c r="F88" s="20"/>
      <c r="G88" s="20"/>
      <c r="H88" s="20"/>
      <c r="I88" s="4"/>
      <c r="J88" s="4"/>
      <c r="K88" s="4"/>
      <c r="L88" s="4"/>
      <c r="M88" s="4"/>
      <c r="N88" s="4"/>
      <c r="O88" s="4"/>
      <c r="P88" s="4"/>
      <c r="Q88" s="4"/>
      <c r="R88" s="4"/>
      <c r="S88" s="4"/>
      <c r="T88" s="4"/>
      <c r="U88" s="4"/>
      <c r="V88" s="4"/>
      <c r="W88" s="4"/>
      <c r="X88" s="4"/>
      <c r="Y88" s="4"/>
      <c r="Z88" s="4"/>
    </row>
    <row r="89">
      <c r="A89" s="20"/>
      <c r="B89" s="20"/>
      <c r="C89" s="20"/>
      <c r="D89" s="20"/>
      <c r="E89" s="20"/>
      <c r="F89" s="20"/>
      <c r="G89" s="20"/>
      <c r="H89" s="20"/>
      <c r="I89" s="4"/>
      <c r="J89" s="4"/>
      <c r="K89" s="4"/>
      <c r="L89" s="4"/>
      <c r="M89" s="4"/>
      <c r="N89" s="4"/>
      <c r="O89" s="4"/>
      <c r="P89" s="4"/>
      <c r="Q89" s="4"/>
      <c r="R89" s="4"/>
      <c r="S89" s="4"/>
      <c r="T89" s="4"/>
      <c r="U89" s="4"/>
      <c r="V89" s="4"/>
      <c r="W89" s="4"/>
      <c r="X89" s="4"/>
      <c r="Y89" s="4"/>
      <c r="Z89" s="4"/>
    </row>
    <row r="90">
      <c r="A90" s="20"/>
      <c r="B90" s="20"/>
      <c r="C90" s="20"/>
      <c r="D90" s="20"/>
      <c r="E90" s="20"/>
      <c r="F90" s="20"/>
      <c r="G90" s="20"/>
      <c r="H90" s="20"/>
      <c r="I90" s="4"/>
      <c r="J90" s="4"/>
      <c r="K90" s="4"/>
      <c r="L90" s="4"/>
      <c r="M90" s="4"/>
      <c r="N90" s="4"/>
      <c r="O90" s="4"/>
      <c r="P90" s="4"/>
      <c r="Q90" s="4"/>
      <c r="R90" s="4"/>
      <c r="S90" s="4"/>
      <c r="T90" s="4"/>
      <c r="U90" s="4"/>
      <c r="V90" s="4"/>
      <c r="W90" s="4"/>
      <c r="X90" s="4"/>
      <c r="Y90" s="4"/>
      <c r="Z90" s="4"/>
    </row>
    <row r="91">
      <c r="A91" s="20"/>
      <c r="B91" s="20"/>
      <c r="C91" s="20"/>
      <c r="D91" s="20"/>
      <c r="E91" s="20"/>
      <c r="F91" s="20"/>
      <c r="G91" s="20"/>
      <c r="H91" s="20"/>
      <c r="I91" s="4"/>
      <c r="J91" s="4"/>
      <c r="K91" s="4"/>
      <c r="L91" s="4"/>
      <c r="M91" s="4"/>
      <c r="N91" s="4"/>
      <c r="O91" s="4"/>
      <c r="P91" s="4"/>
      <c r="Q91" s="4"/>
      <c r="R91" s="4"/>
      <c r="S91" s="4"/>
      <c r="T91" s="4"/>
      <c r="U91" s="4"/>
      <c r="V91" s="4"/>
      <c r="W91" s="4"/>
      <c r="X91" s="4"/>
      <c r="Y91" s="4"/>
      <c r="Z91" s="4"/>
    </row>
    <row r="92">
      <c r="A92" s="20"/>
      <c r="B92" s="20"/>
      <c r="C92" s="20"/>
      <c r="D92" s="20"/>
      <c r="E92" s="20"/>
      <c r="F92" s="20"/>
      <c r="G92" s="20"/>
      <c r="H92" s="20"/>
      <c r="I92" s="4"/>
      <c r="J92" s="4"/>
      <c r="K92" s="4"/>
      <c r="L92" s="4"/>
      <c r="M92" s="4"/>
      <c r="N92" s="4"/>
      <c r="O92" s="4"/>
      <c r="P92" s="4"/>
      <c r="Q92" s="4"/>
      <c r="R92" s="4"/>
      <c r="S92" s="4"/>
      <c r="T92" s="4"/>
      <c r="U92" s="4"/>
      <c r="V92" s="4"/>
      <c r="W92" s="4"/>
      <c r="X92" s="4"/>
      <c r="Y92" s="4"/>
      <c r="Z92" s="4"/>
    </row>
    <row r="93">
      <c r="A93" s="20"/>
      <c r="B93" s="20"/>
      <c r="C93" s="20"/>
      <c r="D93" s="20"/>
      <c r="E93" s="20"/>
      <c r="F93" s="20"/>
      <c r="G93" s="20"/>
      <c r="H93" s="20"/>
      <c r="I93" s="4"/>
      <c r="J93" s="4"/>
      <c r="K93" s="4"/>
      <c r="L93" s="4"/>
      <c r="M93" s="4"/>
      <c r="N93" s="4"/>
      <c r="O93" s="4"/>
      <c r="P93" s="4"/>
      <c r="Q93" s="4"/>
      <c r="R93" s="4"/>
      <c r="S93" s="4"/>
      <c r="T93" s="4"/>
      <c r="U93" s="4"/>
      <c r="V93" s="4"/>
      <c r="W93" s="4"/>
      <c r="X93" s="4"/>
      <c r="Y93" s="4"/>
      <c r="Z93" s="4"/>
    </row>
    <row r="94">
      <c r="A94" s="20"/>
      <c r="B94" s="20"/>
      <c r="C94" s="20"/>
      <c r="D94" s="20"/>
      <c r="E94" s="20"/>
      <c r="F94" s="20"/>
      <c r="G94" s="20"/>
      <c r="H94" s="20"/>
      <c r="I94" s="4"/>
      <c r="J94" s="4"/>
      <c r="K94" s="4"/>
      <c r="L94" s="4"/>
      <c r="M94" s="4"/>
      <c r="N94" s="4"/>
      <c r="O94" s="4"/>
      <c r="P94" s="4"/>
      <c r="Q94" s="4"/>
      <c r="R94" s="4"/>
      <c r="S94" s="4"/>
      <c r="T94" s="4"/>
      <c r="U94" s="4"/>
      <c r="V94" s="4"/>
      <c r="W94" s="4"/>
      <c r="X94" s="4"/>
      <c r="Y94" s="4"/>
      <c r="Z94" s="4"/>
    </row>
    <row r="95">
      <c r="A95" s="20"/>
      <c r="B95" s="20"/>
      <c r="C95" s="20"/>
      <c r="D95" s="20"/>
      <c r="E95" s="20"/>
      <c r="F95" s="20"/>
      <c r="G95" s="20"/>
      <c r="H95" s="20"/>
      <c r="I95" s="4"/>
      <c r="J95" s="4"/>
      <c r="K95" s="4"/>
      <c r="L95" s="4"/>
      <c r="M95" s="4"/>
      <c r="N95" s="4"/>
      <c r="O95" s="4"/>
      <c r="P95" s="4"/>
      <c r="Q95" s="4"/>
      <c r="R95" s="4"/>
      <c r="S95" s="4"/>
      <c r="T95" s="4"/>
      <c r="U95" s="4"/>
      <c r="V95" s="4"/>
      <c r="W95" s="4"/>
      <c r="X95" s="4"/>
      <c r="Y95" s="4"/>
      <c r="Z95" s="4"/>
    </row>
    <row r="96">
      <c r="A96" s="20"/>
      <c r="B96" s="20"/>
      <c r="C96" s="20"/>
      <c r="D96" s="20"/>
      <c r="E96" s="20"/>
      <c r="F96" s="20"/>
      <c r="G96" s="20"/>
      <c r="H96" s="20"/>
      <c r="I96" s="4"/>
      <c r="J96" s="4"/>
      <c r="K96" s="4"/>
      <c r="L96" s="4"/>
      <c r="M96" s="4"/>
      <c r="N96" s="4"/>
      <c r="O96" s="4"/>
      <c r="P96" s="4"/>
      <c r="Q96" s="4"/>
      <c r="R96" s="4"/>
      <c r="S96" s="4"/>
      <c r="T96" s="4"/>
      <c r="U96" s="4"/>
      <c r="V96" s="4"/>
      <c r="W96" s="4"/>
      <c r="X96" s="4"/>
      <c r="Y96" s="4"/>
      <c r="Z96" s="4"/>
    </row>
    <row r="97">
      <c r="A97" s="20"/>
      <c r="B97" s="20"/>
      <c r="C97" s="20"/>
      <c r="D97" s="20"/>
      <c r="E97" s="20"/>
      <c r="F97" s="20"/>
      <c r="G97" s="20"/>
      <c r="H97" s="20"/>
      <c r="I97" s="4"/>
      <c r="J97" s="4"/>
      <c r="K97" s="4"/>
      <c r="L97" s="4"/>
      <c r="M97" s="4"/>
      <c r="N97" s="4"/>
      <c r="O97" s="4"/>
      <c r="P97" s="4"/>
      <c r="Q97" s="4"/>
      <c r="R97" s="4"/>
      <c r="S97" s="4"/>
      <c r="T97" s="4"/>
      <c r="U97" s="4"/>
      <c r="V97" s="4"/>
      <c r="W97" s="4"/>
      <c r="X97" s="4"/>
      <c r="Y97" s="4"/>
      <c r="Z97" s="4"/>
    </row>
    <row r="98">
      <c r="A98" s="20"/>
      <c r="B98" s="20"/>
      <c r="C98" s="20"/>
      <c r="D98" s="20"/>
      <c r="E98" s="20"/>
      <c r="F98" s="20"/>
      <c r="G98" s="20"/>
      <c r="H98" s="20"/>
      <c r="I98" s="4"/>
      <c r="J98" s="4"/>
      <c r="K98" s="4"/>
      <c r="L98" s="4"/>
      <c r="M98" s="4"/>
      <c r="N98" s="4"/>
      <c r="O98" s="4"/>
      <c r="P98" s="4"/>
      <c r="Q98" s="4"/>
      <c r="R98" s="4"/>
      <c r="S98" s="4"/>
      <c r="T98" s="4"/>
      <c r="U98" s="4"/>
      <c r="V98" s="4"/>
      <c r="W98" s="4"/>
      <c r="X98" s="4"/>
      <c r="Y98" s="4"/>
      <c r="Z98" s="4"/>
    </row>
    <row r="99">
      <c r="A99" s="20"/>
      <c r="B99" s="20"/>
      <c r="C99" s="20"/>
      <c r="D99" s="20"/>
      <c r="E99" s="20"/>
      <c r="F99" s="20"/>
      <c r="G99" s="20"/>
      <c r="H99" s="20"/>
      <c r="I99" s="4"/>
      <c r="J99" s="4"/>
      <c r="K99" s="4"/>
      <c r="L99" s="4"/>
      <c r="M99" s="4"/>
      <c r="N99" s="4"/>
      <c r="O99" s="4"/>
      <c r="P99" s="4"/>
      <c r="Q99" s="4"/>
      <c r="R99" s="4"/>
      <c r="S99" s="4"/>
      <c r="T99" s="4"/>
      <c r="U99" s="4"/>
      <c r="V99" s="4"/>
      <c r="W99" s="4"/>
      <c r="X99" s="4"/>
      <c r="Y99" s="4"/>
      <c r="Z99" s="4"/>
    </row>
    <row r="100">
      <c r="A100" s="20"/>
      <c r="B100" s="20"/>
      <c r="C100" s="20"/>
      <c r="D100" s="20"/>
      <c r="E100" s="20"/>
      <c r="F100" s="20"/>
      <c r="G100" s="20"/>
      <c r="H100" s="20"/>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210</v>
      </c>
      <c r="B1" s="1" t="s">
        <v>106</v>
      </c>
      <c r="C1" s="1" t="s">
        <v>211</v>
      </c>
      <c r="D1" s="1" t="s">
        <v>212</v>
      </c>
      <c r="E1" s="1" t="s">
        <v>213</v>
      </c>
      <c r="F1" s="4"/>
      <c r="G1" s="4"/>
      <c r="H1" s="4"/>
      <c r="I1" s="4"/>
      <c r="J1" s="4"/>
      <c r="K1" s="4"/>
      <c r="L1" s="4"/>
      <c r="M1" s="4"/>
      <c r="N1" s="4"/>
      <c r="O1" s="4"/>
      <c r="P1" s="4"/>
      <c r="Q1" s="4"/>
      <c r="R1" s="4"/>
      <c r="S1" s="4"/>
      <c r="T1" s="4"/>
      <c r="U1" s="4"/>
      <c r="V1" s="4"/>
      <c r="W1" s="4"/>
      <c r="X1" s="4"/>
      <c r="Y1" s="4"/>
      <c r="Z1" s="4"/>
    </row>
    <row r="2">
      <c r="A2" s="4" t="str">
        <f>IF(Rules_Production!J2="ACTIVE", TEXT(NOW(), "yyyy-mm-dd hh:mm:ss"), "")</f>
        <v>2026-05-26 16:02:09</v>
      </c>
      <c r="B2" s="4" t="str">
        <f>IF(Rules_Production!J2="ACTIVE", Rules_Production!A2, "")</f>
        <v>§168</v>
      </c>
      <c r="C2" s="4" t="str">
        <f>IF(Rules_Production!J2="ACTIVE", IF(ISBLANK(Rules_Production!B2), "New Draft", "Rule Active"), "")</f>
        <v>Rule Active</v>
      </c>
      <c r="D2" s="4" t="str">
        <f>IF(Rules_Production!J2="ACTIVE", Rules_Production!M$1, "")</f>
        <v>v202605</v>
      </c>
      <c r="E2" s="4" t="str">
        <f>IF(Rules_Production!J2="ACTIVE", "Ready", "Pending")</f>
        <v>Ready</v>
      </c>
      <c r="F2" s="4"/>
      <c r="G2" s="4"/>
      <c r="H2" s="4"/>
      <c r="I2" s="4"/>
      <c r="J2" s="4"/>
      <c r="K2" s="4"/>
      <c r="L2" s="4"/>
      <c r="M2" s="4"/>
      <c r="N2" s="4"/>
      <c r="O2" s="4"/>
      <c r="P2" s="4"/>
      <c r="Q2" s="4"/>
      <c r="R2" s="4"/>
      <c r="S2" s="4"/>
      <c r="T2" s="4"/>
      <c r="U2" s="4"/>
      <c r="V2" s="4"/>
      <c r="W2" s="4"/>
      <c r="X2" s="4"/>
      <c r="Y2" s="4"/>
      <c r="Z2" s="4"/>
    </row>
    <row r="3">
      <c r="A3" s="4" t="str">
        <f>IF(Rules_Production!J3="ACTIVE", TEXT(NOW(), "yyyy-mm-dd hh:mm:ss"), "")</f>
        <v>2026-05-26 16:02:09</v>
      </c>
      <c r="B3" s="4" t="str">
        <f>IF(Rules_Production!J3="ACTIVE", Rules_Production!A3, "")</f>
        <v>§179</v>
      </c>
      <c r="C3" s="4" t="str">
        <f>IF(Rules_Production!J3="ACTIVE", IF(ISBLANK(Rules_Production!B3), "New Draft", "Rule Active"), "")</f>
        <v>Rule Active</v>
      </c>
      <c r="D3" s="4" t="str">
        <f>IF(Rules_Production!J3="ACTIVE", Rules_Production!M$1, "")</f>
        <v>v202605</v>
      </c>
      <c r="E3" s="4" t="str">
        <f>IF(Rules_Production!J3="ACTIVE", "Ready", "Pending")</f>
        <v>Ready</v>
      </c>
      <c r="F3" s="4"/>
      <c r="G3" s="4"/>
      <c r="H3" s="4"/>
      <c r="I3" s="4"/>
      <c r="J3" s="4"/>
      <c r="K3" s="4"/>
      <c r="L3" s="4"/>
      <c r="M3" s="4"/>
      <c r="N3" s="4"/>
      <c r="O3" s="4"/>
      <c r="P3" s="4"/>
      <c r="Q3" s="4"/>
      <c r="R3" s="4"/>
      <c r="S3" s="4"/>
      <c r="T3" s="4"/>
      <c r="U3" s="4"/>
      <c r="V3" s="4"/>
      <c r="W3" s="4"/>
      <c r="X3" s="4"/>
      <c r="Y3" s="4"/>
      <c r="Z3" s="4"/>
    </row>
    <row r="4">
      <c r="A4" s="4" t="str">
        <f>IF(Rules_Production!J4="ACTIVE", TEXT(NOW(), "yyyy-mm-dd hh:mm:ss"), "")</f>
        <v>2026-05-26 16:02:09</v>
      </c>
      <c r="B4" s="4" t="str">
        <f>IF(Rules_Production!J4="ACTIVE", Rules_Production!A4, "")</f>
        <v>§41</v>
      </c>
      <c r="C4" s="4" t="str">
        <f>IF(Rules_Production!J4="ACTIVE", IF(ISBLANK(Rules_Production!B4), "New Draft", "Rule Active"), "")</f>
        <v>Rule Active</v>
      </c>
      <c r="D4" s="4" t="str">
        <f>IF(Rules_Production!J4="ACTIVE", Rules_Production!M$1, "")</f>
        <v>v202605</v>
      </c>
      <c r="E4" s="4" t="str">
        <f>IF(Rules_Production!J4="ACTIVE", "Ready", "Pending")</f>
        <v>Ready</v>
      </c>
      <c r="F4" s="4"/>
      <c r="G4" s="4"/>
      <c r="H4" s="4"/>
      <c r="I4" s="4"/>
      <c r="J4" s="4"/>
      <c r="K4" s="4"/>
      <c r="L4" s="4"/>
      <c r="M4" s="4"/>
      <c r="N4" s="4"/>
      <c r="O4" s="4"/>
      <c r="P4" s="4"/>
      <c r="Q4" s="4"/>
      <c r="R4" s="4"/>
      <c r="S4" s="4"/>
      <c r="T4" s="4"/>
      <c r="U4" s="4"/>
      <c r="V4" s="4"/>
      <c r="W4" s="4"/>
      <c r="X4" s="4"/>
      <c r="Y4" s="4"/>
      <c r="Z4" s="4"/>
    </row>
    <row r="5">
      <c r="A5" s="4" t="str">
        <f>IF(Rules_Production!J5="ACTIVE", TEXT(NOW(), "yyyy-mm-dd hh:mm:ss"), "")</f>
        <v>2026-05-26 16:02:09</v>
      </c>
      <c r="B5" s="4" t="str">
        <f>IF(Rules_Production!J5="ACTIVE", Rules_Production!A5, "")</f>
        <v>§3121</v>
      </c>
      <c r="C5" s="4" t="str">
        <f>IF(Rules_Production!J5="ACTIVE", IF(ISBLANK(Rules_Production!B5), "New Draft", "Rule Active"), "")</f>
        <v>Rule Active</v>
      </c>
      <c r="D5" s="4" t="str">
        <f>IF(Rules_Production!J5="ACTIVE", Rules_Production!M$1, "")</f>
        <v>v202605</v>
      </c>
      <c r="E5" s="4" t="str">
        <f>IF(Rules_Production!J5="ACTIVE", "Ready", "Pending")</f>
        <v>Ready</v>
      </c>
      <c r="F5" s="4"/>
      <c r="G5" s="4"/>
      <c r="H5" s="4"/>
      <c r="I5" s="4"/>
      <c r="J5" s="4"/>
      <c r="K5" s="4"/>
      <c r="L5" s="4"/>
      <c r="M5" s="4"/>
      <c r="N5" s="4"/>
      <c r="O5" s="4"/>
      <c r="P5" s="4"/>
      <c r="Q5" s="4"/>
      <c r="R5" s="4"/>
      <c r="S5" s="4"/>
      <c r="T5" s="4"/>
      <c r="U5" s="4"/>
      <c r="V5" s="4"/>
      <c r="W5" s="4"/>
      <c r="X5" s="4"/>
      <c r="Y5" s="4"/>
      <c r="Z5" s="4"/>
    </row>
    <row r="6">
      <c r="A6" s="4" t="str">
        <f>IF(Rules_Production!J6="ACTIVE", TEXT(NOW(), "yyyy-mm-dd hh:mm:ss"), "")</f>
        <v>2026-05-26 16:02:09</v>
      </c>
      <c r="B6" s="4" t="str">
        <f>IF(Rules_Production!J6="ACTIVE", Rules_Production!A6, "")</f>
        <v/>
      </c>
      <c r="C6" s="4" t="str">
        <f>IF(Rules_Production!J6="ACTIVE", IF(ISBLANK(Rules_Production!B6), "New Draft", "Rule Active"), "")</f>
        <v>Rule Active</v>
      </c>
      <c r="D6" s="4" t="str">
        <f>IF(Rules_Production!J6="ACTIVE", Rules_Production!M$1, "")</f>
        <v>v202605</v>
      </c>
      <c r="E6" s="4" t="str">
        <f>IF(Rules_Production!J6="ACTIVE", "Ready", "Pending")</f>
        <v>Ready</v>
      </c>
      <c r="F6" s="4"/>
      <c r="G6" s="4"/>
      <c r="H6" s="4"/>
      <c r="I6" s="4"/>
      <c r="J6" s="4"/>
      <c r="K6" s="4"/>
      <c r="L6" s="4"/>
      <c r="M6" s="4"/>
      <c r="N6" s="4"/>
      <c r="O6" s="4"/>
      <c r="P6" s="4"/>
      <c r="Q6" s="4"/>
      <c r="R6" s="4"/>
      <c r="S6" s="4"/>
      <c r="T6" s="4"/>
      <c r="U6" s="4"/>
      <c r="V6" s="4"/>
      <c r="W6" s="4"/>
      <c r="X6" s="4"/>
      <c r="Y6" s="4"/>
      <c r="Z6" s="4"/>
    </row>
    <row r="7">
      <c r="A7" s="4" t="str">
        <f>IF(Rules_Production!J7="ACTIVE", TEXT(NOW(), "yyyy-mm-dd hh:mm:ss"), "")</f>
        <v>2026-05-26 16:02:09</v>
      </c>
      <c r="B7" s="4" t="str">
        <f>IF(Rules_Production!J7="ACTIVE", Rules_Production!A7, "")</f>
        <v>§199A</v>
      </c>
      <c r="C7" s="4" t="str">
        <f>IF(Rules_Production!J7="ACTIVE", IF(ISBLANK(Rules_Production!B7), "New Draft", "Rule Active"), "")</f>
        <v>Rule Active</v>
      </c>
      <c r="D7" s="4" t="str">
        <f>IF(Rules_Production!J7="ACTIVE", Rules_Production!M$1, "")</f>
        <v>v202605</v>
      </c>
      <c r="E7" s="4" t="str">
        <f>IF(Rules_Production!J7="ACTIVE", "Ready", "Pending")</f>
        <v>Ready</v>
      </c>
      <c r="F7" s="4"/>
      <c r="G7" s="4"/>
      <c r="H7" s="4"/>
      <c r="I7" s="4"/>
      <c r="J7" s="4"/>
      <c r="K7" s="4"/>
      <c r="L7" s="4"/>
      <c r="M7" s="4"/>
      <c r="N7" s="4"/>
      <c r="O7" s="4"/>
      <c r="P7" s="4"/>
      <c r="Q7" s="4"/>
      <c r="R7" s="4"/>
      <c r="S7" s="4"/>
      <c r="T7" s="4"/>
      <c r="U7" s="4"/>
      <c r="V7" s="4"/>
      <c r="W7" s="4"/>
      <c r="X7" s="4"/>
      <c r="Y7" s="4"/>
      <c r="Z7" s="4"/>
    </row>
    <row r="8">
      <c r="A8" s="4" t="str">
        <f>IF(Rules_Production!J8="ACTIVE", TEXT(NOW(), "yyyy-mm-dd hh:mm:ss"), "")</f>
        <v>2026-05-26 16:02:09</v>
      </c>
      <c r="B8" s="4" t="str">
        <f>IF(Rules_Production!J8="ACTIVE", Rules_Production!A8, "")</f>
        <v>§174</v>
      </c>
      <c r="C8" s="4" t="str">
        <f>IF(Rules_Production!J8="ACTIVE", IF(ISBLANK(Rules_Production!B8), "New Draft", "Rule Active"), "")</f>
        <v>Rule Active</v>
      </c>
      <c r="D8" s="4" t="str">
        <f>IF(Rules_Production!J8="ACTIVE", Rules_Production!M$1, "")</f>
        <v>v202605</v>
      </c>
      <c r="E8" s="4" t="str">
        <f>IF(Rules_Production!J8="ACTIVE", "Ready", "Pending")</f>
        <v>Ready</v>
      </c>
      <c r="F8" s="4"/>
      <c r="G8" s="4"/>
      <c r="H8" s="4"/>
      <c r="I8" s="4"/>
      <c r="J8" s="4"/>
      <c r="K8" s="4"/>
      <c r="L8" s="4"/>
      <c r="M8" s="4"/>
      <c r="N8" s="4"/>
      <c r="O8" s="4"/>
      <c r="P8" s="4"/>
      <c r="Q8" s="4"/>
      <c r="R8" s="4"/>
      <c r="S8" s="4"/>
      <c r="T8" s="4"/>
      <c r="U8" s="4"/>
      <c r="V8" s="4"/>
      <c r="W8" s="4"/>
      <c r="X8" s="4"/>
      <c r="Y8" s="4"/>
      <c r="Z8" s="4"/>
    </row>
    <row r="9">
      <c r="A9" s="4" t="str">
        <f>IF(Rules_Production!J9="ACTIVE", TEXT(NOW(), "yyyy-mm-dd hh:mm:ss"), "")</f>
        <v>2026-05-26 16:02:09</v>
      </c>
      <c r="B9" s="4" t="str">
        <f>IF(Rules_Production!J9="ACTIVE", Rules_Production!A9, "")</f>
        <v>§263A</v>
      </c>
      <c r="C9" s="4" t="str">
        <f>IF(Rules_Production!J9="ACTIVE", IF(ISBLANK(Rules_Production!B9), "New Draft", "Rule Active"), "")</f>
        <v>Rule Active</v>
      </c>
      <c r="D9" s="4" t="str">
        <f>IF(Rules_Production!J9="ACTIVE", Rules_Production!M$1, "")</f>
        <v>v202605</v>
      </c>
      <c r="E9" s="4" t="str">
        <f>IF(Rules_Production!J9="ACTIVE", "Ready", "Pending")</f>
        <v>Ready</v>
      </c>
      <c r="F9" s="4"/>
      <c r="G9" s="4"/>
      <c r="H9" s="4"/>
      <c r="I9" s="4"/>
      <c r="J9" s="4"/>
      <c r="K9" s="4"/>
      <c r="L9" s="4"/>
      <c r="M9" s="4"/>
      <c r="N9" s="4"/>
      <c r="O9" s="4"/>
      <c r="P9" s="4"/>
      <c r="Q9" s="4"/>
      <c r="R9" s="4"/>
      <c r="S9" s="4"/>
      <c r="T9" s="4"/>
      <c r="U9" s="4"/>
      <c r="V9" s="4"/>
      <c r="W9" s="4"/>
      <c r="X9" s="4"/>
      <c r="Y9" s="4"/>
      <c r="Z9" s="4"/>
    </row>
    <row r="10">
      <c r="A10" s="4" t="str">
        <f>IF(Rules_Production!J10="ACTIVE", TEXT(NOW(), "yyyy-mm-dd hh:mm:ss"), "")</f>
        <v>2026-05-26 16:02:09</v>
      </c>
      <c r="B10" s="4" t="str">
        <f>IF(Rules_Production!J10="ACTIVE", Rules_Production!A10, "")</f>
        <v>§163(j)</v>
      </c>
      <c r="C10" s="4" t="str">
        <f>IF(Rules_Production!J10="ACTIVE", IF(ISBLANK(Rules_Production!B10), "New Draft", "Rule Active"), "")</f>
        <v>Rule Active</v>
      </c>
      <c r="D10" s="4" t="str">
        <f>IF(Rules_Production!J10="ACTIVE", Rules_Production!M$1, "")</f>
        <v>v202605</v>
      </c>
      <c r="E10" s="4" t="str">
        <f>IF(Rules_Production!J10="ACTIVE", "Ready", "Pending")</f>
        <v>Ready</v>
      </c>
      <c r="F10" s="4"/>
      <c r="G10" s="4"/>
      <c r="H10" s="4"/>
      <c r="I10" s="4"/>
      <c r="J10" s="4"/>
      <c r="K10" s="4"/>
      <c r="L10" s="4"/>
      <c r="M10" s="4"/>
      <c r="N10" s="4"/>
      <c r="O10" s="4"/>
      <c r="P10" s="4"/>
      <c r="Q10" s="4"/>
      <c r="R10" s="4"/>
      <c r="S10" s="4"/>
      <c r="T10" s="4"/>
      <c r="U10" s="4"/>
      <c r="V10" s="4"/>
      <c r="W10" s="4"/>
      <c r="X10" s="4"/>
      <c r="Y10" s="4"/>
      <c r="Z10" s="4"/>
    </row>
    <row r="11">
      <c r="A11" s="4" t="str">
        <f>IF(Rules_Production!J11="ACTIVE", TEXT(NOW(), "yyyy-mm-dd hh:mm:ss"), "")</f>
        <v>2026-05-26 16:02:09</v>
      </c>
      <c r="B11" s="4" t="str">
        <f>IF(Rules_Production!J11="ACTIVE", Rules_Production!A11, "")</f>
        <v>§274</v>
      </c>
      <c r="C11" s="4" t="str">
        <f>IF(Rules_Production!J11="ACTIVE", IF(ISBLANK(Rules_Production!B11), "New Draft", "Rule Active"), "")</f>
        <v>Rule Active</v>
      </c>
      <c r="D11" s="4" t="str">
        <f>IF(Rules_Production!J11="ACTIVE", Rules_Production!M$1, "")</f>
        <v>v202605</v>
      </c>
      <c r="E11" s="4" t="str">
        <f>IF(Rules_Production!J11="ACTIVE", "Ready", "Pending")</f>
        <v>Ready</v>
      </c>
      <c r="F11" s="4"/>
      <c r="G11" s="4"/>
      <c r="H11" s="4"/>
      <c r="I11" s="4"/>
      <c r="J11" s="4"/>
      <c r="K11" s="4"/>
      <c r="L11" s="4"/>
      <c r="M11" s="4"/>
      <c r="N11" s="4"/>
      <c r="O11" s="4"/>
      <c r="P11" s="4"/>
      <c r="Q11" s="4"/>
      <c r="R11" s="4"/>
      <c r="S11" s="4"/>
      <c r="T11" s="4"/>
      <c r="U11" s="4"/>
      <c r="V11" s="4"/>
      <c r="W11" s="4"/>
      <c r="X11" s="4"/>
      <c r="Y11" s="4"/>
      <c r="Z11" s="4"/>
    </row>
    <row r="12">
      <c r="A12" s="4" t="str">
        <f>IF(Rules_Production!J12="ACTIVE", TEXT(NOW(), "yyyy-mm-dd hh:mm:ss"), "")</f>
        <v>2026-05-26 16:02:09</v>
      </c>
      <c r="B12" s="4" t="str">
        <f>IF(Rules_Production!J12="ACTIVE", Rules_Production!A12, "")</f>
        <v>§451</v>
      </c>
      <c r="C12" s="4" t="str">
        <f>IF(Rules_Production!J12="ACTIVE", IF(ISBLANK(Rules_Production!B12), "New Draft", "Rule Active"), "")</f>
        <v>Rule Active</v>
      </c>
      <c r="D12" s="4" t="str">
        <f>IF(Rules_Production!J12="ACTIVE", Rules_Production!M$1, "")</f>
        <v>v202605</v>
      </c>
      <c r="E12" s="4" t="str">
        <f>IF(Rules_Production!J12="ACTIVE", "Ready", "Pending")</f>
        <v>Ready</v>
      </c>
      <c r="F12" s="4"/>
      <c r="G12" s="4"/>
      <c r="H12" s="4"/>
      <c r="I12" s="4"/>
      <c r="J12" s="4"/>
      <c r="K12" s="4"/>
      <c r="L12" s="4"/>
      <c r="M12" s="4"/>
      <c r="N12" s="4"/>
      <c r="O12" s="4"/>
      <c r="P12" s="4"/>
      <c r="Q12" s="4"/>
      <c r="R12" s="4"/>
      <c r="S12" s="4"/>
      <c r="T12" s="4"/>
      <c r="U12" s="4"/>
      <c r="V12" s="4"/>
      <c r="W12" s="4"/>
      <c r="X12" s="4"/>
      <c r="Y12" s="4"/>
      <c r="Z12" s="4"/>
    </row>
    <row r="13">
      <c r="A13" s="4" t="str">
        <f>IF(Rules_Production!J13="ACTIVE", TEXT(NOW(), "yyyy-mm-dd hh:mm:ss"), "")</f>
        <v>2026-05-26 16:02:09</v>
      </c>
      <c r="B13" s="4" t="str">
        <f>IF(Rules_Production!J13="ACTIVE", Rules_Production!A13, "")</f>
        <v>§280A</v>
      </c>
      <c r="C13" s="4" t="str">
        <f>IF(Rules_Production!J13="ACTIVE", IF(ISBLANK(Rules_Production!B13), "New Draft", "Rule Active"), "")</f>
        <v>Rule Active</v>
      </c>
      <c r="D13" s="4" t="str">
        <f>IF(Rules_Production!J13="ACTIVE", Rules_Production!M$1, "")</f>
        <v>v202605</v>
      </c>
      <c r="E13" s="4" t="str">
        <f>IF(Rules_Production!J13="ACTIVE", "Ready", "Pending")</f>
        <v>Ready</v>
      </c>
      <c r="F13" s="4"/>
      <c r="G13" s="4"/>
      <c r="H13" s="4"/>
      <c r="I13" s="4"/>
      <c r="J13" s="4"/>
      <c r="K13" s="4"/>
      <c r="L13" s="4"/>
      <c r="M13" s="4"/>
      <c r="N13" s="4"/>
      <c r="O13" s="4"/>
      <c r="P13" s="4"/>
      <c r="Q13" s="4"/>
      <c r="R13" s="4"/>
      <c r="S13" s="4"/>
      <c r="T13" s="4"/>
      <c r="U13" s="4"/>
      <c r="V13" s="4"/>
      <c r="W13" s="4"/>
      <c r="X13" s="4"/>
      <c r="Y13" s="4"/>
      <c r="Z13" s="4"/>
    </row>
    <row r="14">
      <c r="A14" s="4" t="str">
        <f>IF(Rules_Production!J14="ACTIVE", TEXT(NOW(), "yyyy-mm-dd hh:mm:ss"), "")</f>
        <v>2026-05-26 16:02:09</v>
      </c>
      <c r="B14" s="4" t="str">
        <f>IF(Rules_Production!J14="ACTIVE", Rules_Production!A14, "")</f>
        <v>§132</v>
      </c>
      <c r="C14" s="4" t="str">
        <f>IF(Rules_Production!J14="ACTIVE", IF(ISBLANK(Rules_Production!B14), "New Draft", "Rule Active"), "")</f>
        <v>Rule Active</v>
      </c>
      <c r="D14" s="4" t="str">
        <f>IF(Rules_Production!J14="ACTIVE", Rules_Production!M$1, "")</f>
        <v>v202605</v>
      </c>
      <c r="E14" s="4" t="str">
        <f>IF(Rules_Production!J14="ACTIVE", "Ready", "Pending")</f>
        <v>Ready</v>
      </c>
      <c r="F14" s="4"/>
      <c r="G14" s="4"/>
      <c r="H14" s="4"/>
      <c r="I14" s="4"/>
      <c r="J14" s="4"/>
      <c r="K14" s="4"/>
      <c r="L14" s="4"/>
      <c r="M14" s="4"/>
      <c r="N14" s="4"/>
      <c r="O14" s="4"/>
      <c r="P14" s="4"/>
      <c r="Q14" s="4"/>
      <c r="R14" s="4"/>
      <c r="S14" s="4"/>
      <c r="T14" s="4"/>
      <c r="U14" s="4"/>
      <c r="V14" s="4"/>
      <c r="W14" s="4"/>
      <c r="X14" s="4"/>
      <c r="Y14" s="4"/>
      <c r="Z14" s="4"/>
    </row>
    <row r="15">
      <c r="A15" s="4" t="str">
        <f>IF(Rules_Production!J15="ACTIVE", TEXT(NOW(), "yyyy-mm-dd hh:mm:ss"), "")</f>
        <v>2026-05-26 16:02:09</v>
      </c>
      <c r="B15" s="4" t="str">
        <f>IF(Rules_Production!J15="ACTIVE", Rules_Production!A15, "")</f>
        <v>§162(m)</v>
      </c>
      <c r="C15" s="4" t="str">
        <f>IF(Rules_Production!J15="ACTIVE", IF(ISBLANK(Rules_Production!B15), "New Draft", "Rule Active"), "")</f>
        <v>Rule Active</v>
      </c>
      <c r="D15" s="4" t="str">
        <f>IF(Rules_Production!J15="ACTIVE", Rules_Production!M$1, "")</f>
        <v>v202605</v>
      </c>
      <c r="E15" s="4" t="str">
        <f>IF(Rules_Production!J15="ACTIVE", "Ready", "Pending")</f>
        <v>Ready</v>
      </c>
      <c r="F15" s="4"/>
      <c r="G15" s="4"/>
      <c r="H15" s="4"/>
      <c r="I15" s="4"/>
      <c r="J15" s="4"/>
      <c r="K15" s="4"/>
      <c r="L15" s="4"/>
      <c r="M15" s="4"/>
      <c r="N15" s="4"/>
      <c r="O15" s="4"/>
      <c r="P15" s="4"/>
      <c r="Q15" s="4"/>
      <c r="R15" s="4"/>
      <c r="S15" s="4"/>
      <c r="T15" s="4"/>
      <c r="U15" s="4"/>
      <c r="V15" s="4"/>
      <c r="W15" s="4"/>
      <c r="X15" s="4"/>
      <c r="Y15" s="4"/>
      <c r="Z15" s="4"/>
    </row>
    <row r="16">
      <c r="A16" s="4" t="str">
        <f>IF(Rules_Production!J16="ACTIVE", TEXT(NOW(), "yyyy-mm-dd hh:mm:ss"), "")</f>
        <v>2026-05-26 16:02:09</v>
      </c>
      <c r="B16" s="4" t="str">
        <f>IF(Rules_Production!J16="ACTIVE", Rules_Production!A16, "")</f>
        <v>§409A</v>
      </c>
      <c r="C16" s="4" t="str">
        <f>IF(Rules_Production!J16="ACTIVE", IF(ISBLANK(Rules_Production!B16), "New Draft", "Rule Active"), "")</f>
        <v>Rule Active</v>
      </c>
      <c r="D16" s="4" t="str">
        <f>IF(Rules_Production!J16="ACTIVE", Rules_Production!M$1, "")</f>
        <v>v202605</v>
      </c>
      <c r="E16" s="4" t="str">
        <f>IF(Rules_Production!J16="ACTIVE", "Ready", "Pending")</f>
        <v>Ready</v>
      </c>
      <c r="F16" s="4"/>
      <c r="G16" s="4"/>
      <c r="H16" s="4"/>
      <c r="I16" s="4"/>
      <c r="J16" s="4"/>
      <c r="K16" s="4"/>
      <c r="L16" s="4"/>
      <c r="M16" s="4"/>
      <c r="N16" s="4"/>
      <c r="O16" s="4"/>
      <c r="P16" s="4"/>
      <c r="Q16" s="4"/>
      <c r="R16" s="4"/>
      <c r="S16" s="4"/>
      <c r="T16" s="4"/>
      <c r="U16" s="4"/>
      <c r="V16" s="4"/>
      <c r="W16" s="4"/>
      <c r="X16" s="4"/>
      <c r="Y16" s="4"/>
      <c r="Z16" s="4"/>
    </row>
    <row r="17">
      <c r="A17" s="4" t="str">
        <f>IF(Rules_Production!J17="ACTIVE", TEXT(NOW(), "yyyy-mm-dd hh:mm:ss"), "")</f>
        <v>2026-05-26 16:02:09</v>
      </c>
      <c r="B17" s="4" t="str">
        <f>IF(Rules_Production!J17="ACTIVE", Rules_Production!A17, "")</f>
        <v>§1202</v>
      </c>
      <c r="C17" s="4" t="str">
        <f>IF(Rules_Production!J17="ACTIVE", IF(ISBLANK(Rules_Production!B17), "New Draft", "Rule Active"), "")</f>
        <v>Rule Active</v>
      </c>
      <c r="D17" s="4" t="str">
        <f>IF(Rules_Production!J17="ACTIVE", Rules_Production!M$1, "")</f>
        <v>v202605</v>
      </c>
      <c r="E17" s="4" t="str">
        <f>IF(Rules_Production!J17="ACTIVE", "Ready", "Pending")</f>
        <v>Ready</v>
      </c>
      <c r="F17" s="4"/>
      <c r="G17" s="4"/>
      <c r="H17" s="4"/>
      <c r="I17" s="4"/>
      <c r="J17" s="4"/>
      <c r="K17" s="4"/>
      <c r="L17" s="4"/>
      <c r="M17" s="4"/>
      <c r="N17" s="4"/>
      <c r="O17" s="4"/>
      <c r="P17" s="4"/>
      <c r="Q17" s="4"/>
      <c r="R17" s="4"/>
      <c r="S17" s="4"/>
      <c r="T17" s="4"/>
      <c r="U17" s="4"/>
      <c r="V17" s="4"/>
      <c r="W17" s="4"/>
      <c r="X17" s="4"/>
      <c r="Y17" s="4"/>
      <c r="Z17" s="4"/>
    </row>
    <row r="18">
      <c r="A18" s="4" t="str">
        <f>IF(Rules_Production!J18="ACTIVE", TEXT(NOW(), "yyyy-mm-dd hh:mm:ss"), "")</f>
        <v/>
      </c>
      <c r="B18" s="4" t="str">
        <f>IF(Rules_Production!J18="ACTIVE", Rules_Production!A18, "")</f>
        <v/>
      </c>
      <c r="C18" s="4" t="str">
        <f>IF(Rules_Production!J18="ACTIVE", IF(ISBLANK(Rules_Production!B18), "New Draft", "Rule Active"), "")</f>
        <v/>
      </c>
      <c r="D18" s="4" t="str">
        <f>IF(Rules_Production!J18="ACTIVE", Rules_Production!M$1, "")</f>
        <v/>
      </c>
      <c r="E18" s="4" t="str">
        <f>IF(Rules_Production!J18="ACTIVE", "Ready", "Pending")</f>
        <v>Pending</v>
      </c>
      <c r="F18" s="4"/>
      <c r="G18" s="4"/>
      <c r="H18" s="4"/>
      <c r="I18" s="4"/>
      <c r="J18" s="4"/>
      <c r="K18" s="4"/>
      <c r="L18" s="4"/>
      <c r="M18" s="4"/>
      <c r="N18" s="4"/>
      <c r="O18" s="4"/>
      <c r="P18" s="4"/>
      <c r="Q18" s="4"/>
      <c r="R18" s="4"/>
      <c r="S18" s="4"/>
      <c r="T18" s="4"/>
      <c r="U18" s="4"/>
      <c r="V18" s="4"/>
      <c r="W18" s="4"/>
      <c r="X18" s="4"/>
      <c r="Y18" s="4"/>
      <c r="Z18" s="4"/>
    </row>
    <row r="19">
      <c r="A19" s="4" t="str">
        <f>IF(Rules_Production!J19="ACTIVE", TEXT(NOW(), "yyyy-mm-dd hh:mm:ss"), "")</f>
        <v/>
      </c>
      <c r="B19" s="4" t="str">
        <f>IF(Rules_Production!J19="ACTIVE", Rules_Production!A19, "")</f>
        <v/>
      </c>
      <c r="C19" s="4" t="str">
        <f>IF(Rules_Production!J19="ACTIVE", IF(ISBLANK(Rules_Production!B19), "New Draft", "Rule Active"), "")</f>
        <v/>
      </c>
      <c r="D19" s="4" t="str">
        <f>IF(Rules_Production!J19="ACTIVE", Rules_Production!M$1, "")</f>
        <v/>
      </c>
      <c r="E19" s="4" t="str">
        <f>IF(Rules_Production!J19="ACTIVE", "Ready", "Pending")</f>
        <v>Pending</v>
      </c>
      <c r="F19" s="4"/>
      <c r="G19" s="4"/>
      <c r="H19" s="4"/>
      <c r="I19" s="4"/>
      <c r="J19" s="4"/>
      <c r="K19" s="4"/>
      <c r="L19" s="4"/>
      <c r="M19" s="4"/>
      <c r="N19" s="4"/>
      <c r="O19" s="4"/>
      <c r="P19" s="4"/>
      <c r="Q19" s="4"/>
      <c r="R19" s="4"/>
      <c r="S19" s="4"/>
      <c r="T19" s="4"/>
      <c r="U19" s="4"/>
      <c r="V19" s="4"/>
      <c r="W19" s="4"/>
      <c r="X19" s="4"/>
      <c r="Y19" s="4"/>
      <c r="Z19" s="4"/>
    </row>
    <row r="20">
      <c r="A20" s="4" t="str">
        <f>IF(Rules_Production!J20="ACTIVE", TEXT(NOW(), "yyyy-mm-dd hh:mm:ss"), "")</f>
        <v/>
      </c>
      <c r="B20" s="4" t="str">
        <f>IF(Rules_Production!J20="ACTIVE", Rules_Production!A20, "")</f>
        <v/>
      </c>
      <c r="C20" s="4" t="str">
        <f>IF(Rules_Production!J20="ACTIVE", IF(ISBLANK(Rules_Production!B20), "New Draft", "Rule Active"), "")</f>
        <v/>
      </c>
      <c r="D20" s="4" t="str">
        <f>IF(Rules_Production!J20="ACTIVE", Rules_Production!M$1, "")</f>
        <v/>
      </c>
      <c r="E20" s="4" t="str">
        <f>IF(Rules_Production!J20="ACTIVE", "Ready", "Pending")</f>
        <v>Pending</v>
      </c>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A2:E20">
    <cfRule type="expression" dxfId="0" priority="1" stopIfTrue="1">
      <formula>$E2="Ready"</formula>
    </cfRule>
  </conditionalFormatting>
  <conditionalFormatting sqref="A2:E20">
    <cfRule type="expression" dxfId="1" priority="2" stopIfTrue="1">
      <formula>$E2="Pending"</formula>
    </cfRule>
  </conditionalFormatting>
  <drawing r:id="rId1"/>
</worksheet>
</file>